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390" tabRatio="600" firstSheet="0" activeTab="1" autoFilterDateGrouping="1"/>
  </bookViews>
  <sheets>
    <sheet xmlns:r="http://schemas.openxmlformats.org/officeDocument/2006/relationships" name="Reviews" sheetId="1" state="visible" r:id="rId1"/>
    <sheet xmlns:r="http://schemas.openxmlformats.org/officeDocument/2006/relationships" name="Daily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₹&quot;#,##0_);[Red]&quot;(₹&quot;#,##0\)"/>
    <numFmt numFmtId="165" formatCode="dd\-mmm\-yy"/>
    <numFmt numFmtId="166" formatCode="[$-409]d\-mmm;@"/>
    <numFmt numFmtId="167" formatCode="_ &quot;₹&quot;* #,##0.00_ ;_ &quot;₹&quot;* \-#,##0.00_ ;_ &quot;₹&quot;* &quot;-&quot;??_ ;_ @_ "/>
    <numFmt numFmtId="168" formatCode="_ * #,##0_ ;_ * \-#,##0_ ;_ * &quot;-&quot;_ ;_ @_ "/>
    <numFmt numFmtId="169" formatCode="_ &quot;₹&quot;* #,##0_ ;_ &quot;₹&quot;* \-#,##0_ ;_ &quot;₹&quot;* &quot;-&quot;_ ;_ @_ "/>
    <numFmt numFmtId="170" formatCode="_ * #,##0.00_ ;_ * \-#,##0.00_ ;_ * &quot;-&quot;??_ ;_ @_ "/>
  </numFmts>
  <fonts count="29">
    <font>
      <name val="Calibri"/>
      <charset val="134"/>
      <color theme="1"/>
      <sz val="12"/>
      <scheme val="minor"/>
    </font>
    <font>
      <name val="Calibri"/>
      <charset val="134"/>
      <b val="1"/>
      <color theme="0"/>
      <sz val="14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0"/>
      <sz val="12"/>
    </font>
    <font>
      <name val="Calibri"/>
      <charset val="134"/>
      <b val="1"/>
      <color theme="1"/>
      <sz val="11"/>
    </font>
    <font>
      <name val="Calibri"/>
      <charset val="134"/>
      <b val="1"/>
      <color theme="0"/>
      <sz val="12"/>
      <scheme val="minor"/>
    </font>
    <font>
      <name val="Calibri"/>
      <charset val="134"/>
      <b val="1"/>
      <color theme="0"/>
      <sz val="11"/>
      <scheme val="minor"/>
    </font>
    <font>
      <name val="Calibri"/>
      <charset val="134"/>
      <b val="1"/>
      <color theme="0"/>
      <sz val="14"/>
    </font>
    <font>
      <name val="Calibri"/>
      <charset val="134"/>
      <color rgb="FF000000"/>
      <sz val="11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theme="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3F3F76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7" fillId="8" borderId="0" applyAlignment="1">
      <alignment vertical="center"/>
    </xf>
    <xf numFmtId="0" fontId="12" fillId="25" borderId="0" applyAlignment="1">
      <alignment vertical="center"/>
    </xf>
    <xf numFmtId="0" fontId="17" fillId="35" borderId="0" applyAlignment="1">
      <alignment vertical="center"/>
    </xf>
    <xf numFmtId="0" fontId="17" fillId="7" borderId="0" applyAlignment="1">
      <alignment vertical="center"/>
    </xf>
    <xf numFmtId="0" fontId="12" fillId="30" borderId="0" applyAlignment="1">
      <alignment vertical="center"/>
    </xf>
    <xf numFmtId="0" fontId="12" fillId="29" borderId="0" applyAlignment="1">
      <alignment vertical="center"/>
    </xf>
    <xf numFmtId="0" fontId="17" fillId="10" borderId="0" applyAlignment="1">
      <alignment vertical="center"/>
    </xf>
    <xf numFmtId="0" fontId="17" fillId="27" borderId="0" applyAlignment="1">
      <alignment vertical="center"/>
    </xf>
    <xf numFmtId="0" fontId="12" fillId="18" borderId="0" applyAlignment="1">
      <alignment vertical="center"/>
    </xf>
    <xf numFmtId="0" fontId="17" fillId="32" borderId="0" applyAlignment="1">
      <alignment vertical="center"/>
    </xf>
    <xf numFmtId="0" fontId="24" fillId="0" borderId="12" applyAlignment="1">
      <alignment vertical="center"/>
    </xf>
    <xf numFmtId="0" fontId="12" fillId="24" borderId="0" applyAlignment="1">
      <alignment vertical="center"/>
    </xf>
    <xf numFmtId="0" fontId="17" fillId="21" borderId="0" applyAlignment="1">
      <alignment vertical="center"/>
    </xf>
    <xf numFmtId="0" fontId="17" fillId="19" borderId="0" applyAlignment="1">
      <alignment vertical="center"/>
    </xf>
    <xf numFmtId="0" fontId="12" fillId="28" borderId="0" applyAlignment="1">
      <alignment vertical="center"/>
    </xf>
    <xf numFmtId="0" fontId="12" fillId="33" borderId="0" applyAlignment="1">
      <alignment vertical="center"/>
    </xf>
    <xf numFmtId="0" fontId="17" fillId="17" borderId="0" applyAlignment="1">
      <alignment vertical="center"/>
    </xf>
    <xf numFmtId="0" fontId="12" fillId="14" borderId="0" applyAlignment="1">
      <alignment vertical="center"/>
    </xf>
    <xf numFmtId="0" fontId="12" fillId="16" borderId="0" applyAlignment="1">
      <alignment vertical="center"/>
    </xf>
    <xf numFmtId="0" fontId="17" fillId="20" borderId="0" applyAlignment="1">
      <alignment vertical="center"/>
    </xf>
    <xf numFmtId="0" fontId="25" fillId="23" borderId="0" applyAlignment="1">
      <alignment vertical="center"/>
    </xf>
    <xf numFmtId="0" fontId="17" fillId="22" borderId="0" applyAlignment="1">
      <alignment vertical="center"/>
    </xf>
    <xf numFmtId="0" fontId="21" fillId="15" borderId="0" applyAlignment="1">
      <alignment vertical="center"/>
    </xf>
    <xf numFmtId="0" fontId="12" fillId="12" borderId="0" applyAlignment="1">
      <alignment vertical="center"/>
    </xf>
    <xf numFmtId="0" fontId="23" fillId="0" borderId="11" applyAlignment="1">
      <alignment vertical="center"/>
    </xf>
    <xf numFmtId="0" fontId="22" fillId="9" borderId="10" applyAlignment="1">
      <alignment vertical="center"/>
    </xf>
    <xf numFmtId="167" fontId="9" fillId="0" borderId="0" applyAlignment="1">
      <alignment vertical="center"/>
    </xf>
    <xf numFmtId="0" fontId="12" fillId="34" borderId="0" applyAlignment="1">
      <alignment vertical="center"/>
    </xf>
    <xf numFmtId="0" fontId="9" fillId="11" borderId="8" applyAlignment="1">
      <alignment vertical="center"/>
    </xf>
    <xf numFmtId="0" fontId="28" fillId="31" borderId="7" applyAlignment="1">
      <alignment vertical="center"/>
    </xf>
    <xf numFmtId="0" fontId="14" fillId="0" borderId="0" applyAlignment="1">
      <alignment vertical="center"/>
    </xf>
    <xf numFmtId="0" fontId="19" fillId="9" borderId="7" applyAlignment="1">
      <alignment vertical="center"/>
    </xf>
    <xf numFmtId="0" fontId="15" fillId="6" borderId="0" applyAlignment="1">
      <alignment vertical="center"/>
    </xf>
    <xf numFmtId="0" fontId="14" fillId="0" borderId="6" applyAlignment="1">
      <alignment vertical="center"/>
    </xf>
    <xf numFmtId="0" fontId="18" fillId="0" borderId="0" applyAlignment="1">
      <alignment vertical="center"/>
    </xf>
    <xf numFmtId="0" fontId="13" fillId="0" borderId="5" applyAlignment="1">
      <alignment vertical="center"/>
    </xf>
    <xf numFmtId="168" fontId="9" fillId="0" borderId="0" applyAlignment="1">
      <alignment vertical="center"/>
    </xf>
    <xf numFmtId="0" fontId="12" fillId="5" borderId="0" applyAlignment="1">
      <alignment vertical="center"/>
    </xf>
    <xf numFmtId="0" fontId="11" fillId="0" borderId="0" applyAlignment="1">
      <alignment vertical="center"/>
    </xf>
    <xf numFmtId="169" fontId="9" fillId="0" borderId="0" applyAlignment="1">
      <alignment vertical="center"/>
    </xf>
    <xf numFmtId="0" fontId="10" fillId="0" borderId="0" applyAlignment="1">
      <alignment vertical="center"/>
    </xf>
    <xf numFmtId="0" fontId="26" fillId="0" borderId="0" applyAlignment="1">
      <alignment vertical="center"/>
    </xf>
    <xf numFmtId="0" fontId="27" fillId="0" borderId="5" applyAlignment="1">
      <alignment vertical="center"/>
    </xf>
    <xf numFmtId="170" fontId="9" fillId="0" borderId="0" applyAlignment="1">
      <alignment vertical="center"/>
    </xf>
    <xf numFmtId="0" fontId="20" fillId="13" borderId="9" applyAlignment="1">
      <alignment vertical="center"/>
    </xf>
    <xf numFmtId="0" fontId="17" fillId="26" borderId="0" applyAlignment="1">
      <alignment vertical="center"/>
    </xf>
    <xf numFmtId="9" fontId="9" fillId="0" borderId="0" applyAlignment="1">
      <alignment vertical="center"/>
    </xf>
    <xf numFmtId="0" fontId="16" fillId="0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wrapText="1"/>
    </xf>
    <xf numFmtId="164" fontId="4" fillId="0" borderId="4" applyAlignment="1" pivotButton="0" quotePrefix="0" xfId="0">
      <alignment horizontal="center"/>
    </xf>
    <xf numFmtId="165" fontId="5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6" fontId="0" fillId="0" borderId="0" pivotButton="0" quotePrefix="0" xfId="0"/>
    <xf numFmtId="0" fontId="0" fillId="0" borderId="1" pivotButton="0" quotePrefix="0" xfId="0"/>
    <xf numFmtId="0" fontId="0" fillId="0" borderId="1" pivotButton="0" quotePrefix="0" xfId="0"/>
    <xf numFmtId="166" fontId="0" fillId="0" borderId="0" pivotButton="0" quotePrefix="0" xfId="0"/>
    <xf numFmtId="165" fontId="5" fillId="2" borderId="1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8"/>
  <sheetViews>
    <sheetView workbookViewId="0">
      <selection activeCell="I2" sqref="I2:I38"/>
    </sheetView>
  </sheetViews>
  <sheetFormatPr baseColWidth="8" defaultColWidth="9" defaultRowHeight="15.75"/>
  <cols>
    <col width="15.375" customWidth="1" min="1" max="1"/>
    <col width="5.125" customWidth="1" min="2" max="2"/>
    <col width="11.875" customWidth="1" min="3" max="3"/>
    <col width="8" customWidth="1" min="4" max="4"/>
    <col width="5.75" customWidth="1" min="5" max="5"/>
    <col width="5.875" customWidth="1" min="6" max="6"/>
    <col width="5.125" customWidth="1" min="7" max="7"/>
    <col width="5.5" customWidth="1" min="8" max="8"/>
    <col width="5.625" customWidth="1" min="9" max="9"/>
    <col width="5.75" customWidth="1" min="10" max="10"/>
    <col width="6.125" customWidth="1" min="11" max="11"/>
    <col width="5.875" customWidth="1" min="12" max="12"/>
  </cols>
  <sheetData>
    <row r="1" ht="36" customHeight="1">
      <c r="A1" s="18" t="inlineStr">
        <is>
          <t>Branch</t>
        </is>
      </c>
      <c r="B1" s="18" t="inlineStr">
        <is>
          <t>Stars</t>
        </is>
      </c>
      <c r="C1" s="19" t="inlineStr">
        <is>
          <t>Total Reviews</t>
        </is>
      </c>
      <c r="D1" s="20" t="inlineStr">
        <is>
          <t>Monthly</t>
        </is>
      </c>
      <c r="E1" s="24" t="n">
        <v>46235</v>
      </c>
      <c r="F1" s="24" t="n">
        <v>46236</v>
      </c>
      <c r="G1" s="24" t="n">
        <v>46237</v>
      </c>
      <c r="H1" s="24" t="n">
        <v>46238</v>
      </c>
      <c r="I1" s="24" t="n">
        <v>46239</v>
      </c>
      <c r="J1" s="24" t="n">
        <v>46240</v>
      </c>
      <c r="K1" s="24" t="n">
        <v>46241</v>
      </c>
      <c r="L1" s="24" t="n">
        <v>46237</v>
      </c>
    </row>
    <row r="2">
      <c r="A2" s="18" t="inlineStr">
        <is>
          <t>Tuticorin-1</t>
        </is>
      </c>
      <c r="B2" s="18" t="inlineStr">
        <is>
          <t>4.9★</t>
        </is>
      </c>
      <c r="C2" s="18" t="n">
        <v>7555</v>
      </c>
      <c r="D2" s="18">
        <f>--SUM(E2:AI2)</f>
        <v/>
      </c>
      <c r="E2" s="12" t="n">
        <v>21</v>
      </c>
      <c r="F2" s="23" t="n">
        <v>38</v>
      </c>
      <c r="G2" s="18" t="n">
        <v>30</v>
      </c>
      <c r="H2" s="23" t="n">
        <v>27</v>
      </c>
      <c r="I2" s="23" t="n">
        <v>27</v>
      </c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  <c r="AE2" s="23" t="n"/>
      <c r="AF2" s="23" t="n"/>
      <c r="AG2" s="23" t="n"/>
      <c r="AH2" s="23" t="n"/>
      <c r="AI2" s="23" t="n"/>
    </row>
    <row r="3">
      <c r="A3" s="18" t="inlineStr">
        <is>
          <t>Tuticorin-2</t>
        </is>
      </c>
      <c r="B3" s="18" t="inlineStr">
        <is>
          <t>4.8★</t>
        </is>
      </c>
      <c r="C3" s="18" t="n">
        <v>6596</v>
      </c>
      <c r="D3" s="18">
        <f>SUM(E3:AI3)</f>
        <v/>
      </c>
      <c r="E3" s="12" t="n">
        <v>11</v>
      </c>
      <c r="F3" s="23" t="n">
        <v>5</v>
      </c>
      <c r="G3" s="18" t="n">
        <v>4</v>
      </c>
      <c r="H3" s="23" t="n">
        <v>2</v>
      </c>
      <c r="I3" s="23" t="n">
        <v>2</v>
      </c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  <c r="AE3" s="23" t="n"/>
      <c r="AF3" s="23" t="n"/>
      <c r="AG3" s="23" t="n"/>
      <c r="AH3" s="23" t="n"/>
      <c r="AI3" s="23" t="n"/>
    </row>
    <row r="4">
      <c r="A4" s="18" t="inlineStr">
        <is>
          <t>Thiruchendur-1</t>
        </is>
      </c>
      <c r="B4" s="18" t="inlineStr">
        <is>
          <t>4.9★</t>
        </is>
      </c>
      <c r="C4" s="18" t="n">
        <v>1350</v>
      </c>
      <c r="D4" s="18">
        <f>SUM(E4:AI4)</f>
        <v/>
      </c>
      <c r="E4" s="12" t="n">
        <v>1</v>
      </c>
      <c r="F4" s="23" t="n">
        <v>3</v>
      </c>
      <c r="G4" s="18" t="n">
        <v>0</v>
      </c>
      <c r="H4" s="23" t="n">
        <v>1</v>
      </c>
      <c r="I4" s="23" t="n">
        <v>3</v>
      </c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  <c r="AA4" s="23" t="n"/>
      <c r="AB4" s="23" t="n"/>
      <c r="AC4" s="23" t="n"/>
      <c r="AD4" s="23" t="n"/>
      <c r="AE4" s="23" t="n"/>
      <c r="AF4" s="23" t="n"/>
      <c r="AG4" s="23" t="n"/>
      <c r="AH4" s="23" t="n"/>
      <c r="AI4" s="23" t="n"/>
    </row>
    <row r="5">
      <c r="A5" s="18" t="inlineStr">
        <is>
          <t>Thisayanvilai-1</t>
        </is>
      </c>
      <c r="B5" s="18" t="inlineStr">
        <is>
          <t>4.9★</t>
        </is>
      </c>
      <c r="C5" s="18" t="n">
        <v>448</v>
      </c>
      <c r="D5" s="18">
        <f>SUM(E5:AI5)</f>
        <v/>
      </c>
      <c r="E5" s="12" t="n">
        <v>3</v>
      </c>
      <c r="F5" s="23" t="n">
        <v>4</v>
      </c>
      <c r="G5" s="18" t="n">
        <v>2</v>
      </c>
      <c r="H5" s="23" t="n">
        <v>2</v>
      </c>
      <c r="I5" s="23" t="n">
        <v>4</v>
      </c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  <c r="AA5" s="23" t="n"/>
      <c r="AB5" s="23" t="n"/>
      <c r="AC5" s="23" t="n"/>
      <c r="AD5" s="23" t="n"/>
      <c r="AE5" s="23" t="n"/>
      <c r="AF5" s="23" t="n"/>
      <c r="AG5" s="23" t="n"/>
      <c r="AH5" s="23" t="n"/>
      <c r="AI5" s="23" t="n"/>
    </row>
    <row r="6">
      <c r="A6" s="18" t="inlineStr">
        <is>
          <t>Eral-2</t>
        </is>
      </c>
      <c r="B6" s="18" t="inlineStr">
        <is>
          <t>4.9★</t>
        </is>
      </c>
      <c r="C6" s="18" t="n">
        <v>1159</v>
      </c>
      <c r="D6" s="18">
        <f>SUM(E6:AI6)</f>
        <v/>
      </c>
      <c r="E6" s="12" t="n">
        <v>1</v>
      </c>
      <c r="F6" s="23" t="n">
        <v>2</v>
      </c>
      <c r="G6" s="18" t="n">
        <v>2</v>
      </c>
      <c r="H6" s="23" t="n">
        <v>1</v>
      </c>
      <c r="I6" s="23" t="n">
        <v>3</v>
      </c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</row>
    <row r="7">
      <c r="A7" s="18" t="inlineStr">
        <is>
          <t>Udankudi</t>
        </is>
      </c>
      <c r="B7" s="18" t="inlineStr">
        <is>
          <t>4.9★</t>
        </is>
      </c>
      <c r="C7" s="18" t="n">
        <v>2086</v>
      </c>
      <c r="D7" s="18">
        <f>SUM(E7:AI7)</f>
        <v/>
      </c>
      <c r="E7" s="12" t="n">
        <v>3</v>
      </c>
      <c r="F7" s="23" t="n">
        <v>2</v>
      </c>
      <c r="G7" s="18" t="n">
        <v>2</v>
      </c>
      <c r="H7" s="23" t="n">
        <v>2</v>
      </c>
      <c r="I7" s="23" t="n">
        <v>1</v>
      </c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  <c r="AF7" s="23" t="n"/>
      <c r="AG7" s="23" t="n"/>
      <c r="AH7" s="23" t="n"/>
      <c r="AI7" s="23" t="n"/>
    </row>
    <row r="8">
      <c r="A8" s="18" t="inlineStr">
        <is>
          <t>Tirunelveli-1</t>
        </is>
      </c>
      <c r="B8" s="18" t="inlineStr">
        <is>
          <t>4.8★</t>
        </is>
      </c>
      <c r="C8" s="18" t="n">
        <v>4575</v>
      </c>
      <c r="D8" s="18">
        <f>SUM(E8:AI8)</f>
        <v/>
      </c>
      <c r="E8" s="12" t="n">
        <v>26</v>
      </c>
      <c r="F8" s="23" t="n">
        <v>20</v>
      </c>
      <c r="G8" s="18" t="n">
        <v>3</v>
      </c>
      <c r="H8" s="23" t="n">
        <v>20</v>
      </c>
      <c r="I8" s="23" t="n">
        <v>12</v>
      </c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  <c r="AB8" s="23" t="n"/>
      <c r="AC8" s="23" t="n"/>
      <c r="AD8" s="23" t="n"/>
      <c r="AE8" s="23" t="n"/>
      <c r="AF8" s="23" t="n"/>
      <c r="AG8" s="23" t="n"/>
      <c r="AH8" s="23" t="n"/>
      <c r="AI8" s="23" t="n"/>
    </row>
    <row r="9">
      <c r="A9" s="18" t="inlineStr">
        <is>
          <t>Valliyur-1</t>
        </is>
      </c>
      <c r="B9" s="18" t="inlineStr">
        <is>
          <t>4.8★</t>
        </is>
      </c>
      <c r="C9" s="18" t="n">
        <v>1242</v>
      </c>
      <c r="D9" s="18">
        <f>SUM(E9:AI9)</f>
        <v/>
      </c>
      <c r="E9" s="12" t="n">
        <v>6</v>
      </c>
      <c r="F9" s="23" t="n">
        <v>4</v>
      </c>
      <c r="G9" s="18" t="n">
        <v>3</v>
      </c>
      <c r="H9" s="23" t="n">
        <v>3</v>
      </c>
      <c r="I9" s="23" t="n">
        <v>1</v>
      </c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23" t="n"/>
    </row>
    <row r="10">
      <c r="A10" s="18" t="inlineStr">
        <is>
          <t>Ambasamudram-1</t>
        </is>
      </c>
      <c r="B10" s="18" t="inlineStr">
        <is>
          <t>4.9★</t>
        </is>
      </c>
      <c r="C10" s="18" t="n">
        <v>1020</v>
      </c>
      <c r="D10" s="18">
        <f>SUM(E10:AI10)</f>
        <v/>
      </c>
      <c r="E10" s="12" t="n">
        <v>9</v>
      </c>
      <c r="F10" s="23" t="n">
        <v>4</v>
      </c>
      <c r="G10" s="18" t="n">
        <v>5</v>
      </c>
      <c r="H10" s="23" t="n">
        <v>4</v>
      </c>
      <c r="I10" s="23" t="n">
        <v>2</v>
      </c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</row>
    <row r="11">
      <c r="A11" s="18" t="inlineStr">
        <is>
          <t>Anjugramam-1</t>
        </is>
      </c>
      <c r="B11" s="18" t="inlineStr">
        <is>
          <t>4.9★</t>
        </is>
      </c>
      <c r="C11" s="18" t="n">
        <v>768</v>
      </c>
      <c r="D11" s="18">
        <f>SUM(E11:AI11)</f>
        <v/>
      </c>
      <c r="E11" s="12" t="n">
        <v>3</v>
      </c>
      <c r="F11" s="23" t="n">
        <v>2</v>
      </c>
      <c r="G11" s="18" t="n">
        <v>1</v>
      </c>
      <c r="H11" s="23" t="n">
        <v>1</v>
      </c>
      <c r="I11" s="23" t="n">
        <v>8</v>
      </c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  <c r="AB11" s="23" t="n"/>
      <c r="AC11" s="23" t="n"/>
      <c r="AD11" s="23" t="n"/>
      <c r="AE11" s="23" t="n"/>
      <c r="AF11" s="23" t="n"/>
      <c r="AG11" s="23" t="n"/>
      <c r="AH11" s="23" t="n"/>
      <c r="AI11" s="23" t="n"/>
    </row>
    <row r="12">
      <c r="A12" s="18" t="inlineStr">
        <is>
          <t>Nagercoil</t>
        </is>
      </c>
      <c r="B12" s="18" t="inlineStr">
        <is>
          <t>4.8★</t>
        </is>
      </c>
      <c r="C12" s="18" t="n">
        <v>3271</v>
      </c>
      <c r="D12" s="18">
        <f>SUM(E12:AI12)</f>
        <v/>
      </c>
      <c r="E12" s="12" t="n">
        <v>9</v>
      </c>
      <c r="F12" s="23" t="n">
        <v>10</v>
      </c>
      <c r="G12" s="18" t="n">
        <v>11</v>
      </c>
      <c r="H12" s="23" t="n">
        <v>6</v>
      </c>
      <c r="I12" s="23" t="n">
        <v>1</v>
      </c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23" t="n"/>
      <c r="AC12" s="23" t="n"/>
      <c r="AD12" s="23" t="n"/>
      <c r="AE12" s="23" t="n"/>
      <c r="AF12" s="23" t="n"/>
      <c r="AG12" s="23" t="n"/>
      <c r="AH12" s="23" t="n"/>
      <c r="AI12" s="23" t="n"/>
    </row>
    <row r="13">
      <c r="A13" s="18" t="inlineStr">
        <is>
          <t>Marthandam</t>
        </is>
      </c>
      <c r="B13" s="18" t="inlineStr">
        <is>
          <t>4.7★</t>
        </is>
      </c>
      <c r="C13" s="18" t="n">
        <v>1170</v>
      </c>
      <c r="D13" s="18">
        <f>SUM(E13:AI13)</f>
        <v/>
      </c>
      <c r="E13" s="12" t="n">
        <v>4</v>
      </c>
      <c r="F13" s="23" t="n">
        <v>2</v>
      </c>
      <c r="G13" s="18" t="n">
        <v>3</v>
      </c>
      <c r="H13" s="23" t="n">
        <v>1</v>
      </c>
      <c r="I13" s="23" t="n">
        <v>0</v>
      </c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>
      <c r="A14" s="18" t="inlineStr">
        <is>
          <t>Thuckalay-1</t>
        </is>
      </c>
      <c r="B14" s="18" t="inlineStr">
        <is>
          <t>4.7★</t>
        </is>
      </c>
      <c r="C14" s="18" t="n">
        <v>1142</v>
      </c>
      <c r="D14" s="18">
        <f>SUM(E14:AI14)</f>
        <v/>
      </c>
      <c r="E14" s="12" t="n">
        <v>1</v>
      </c>
      <c r="F14" s="23" t="n">
        <v>5</v>
      </c>
      <c r="G14" s="18" t="n">
        <v>1</v>
      </c>
      <c r="H14" s="23" t="n">
        <v>1</v>
      </c>
      <c r="I14" s="23" t="n">
        <v>1</v>
      </c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23" t="n"/>
      <c r="AC14" s="23" t="n"/>
      <c r="AD14" s="23" t="n"/>
      <c r="AE14" s="23" t="n"/>
      <c r="AF14" s="23" t="n"/>
      <c r="AG14" s="23" t="n"/>
      <c r="AH14" s="23" t="n"/>
      <c r="AI14" s="23" t="n"/>
    </row>
    <row r="15">
      <c r="A15" s="18" t="inlineStr">
        <is>
          <t>Colachel-1</t>
        </is>
      </c>
      <c r="B15" s="18" t="inlineStr">
        <is>
          <t>4.9★</t>
        </is>
      </c>
      <c r="C15" s="18" t="n">
        <v>314</v>
      </c>
      <c r="D15" s="18">
        <f>SUM(E15:AI15)</f>
        <v/>
      </c>
      <c r="E15" s="12" t="n">
        <v>0</v>
      </c>
      <c r="F15" s="23" t="n">
        <v>0</v>
      </c>
      <c r="G15" s="18" t="n">
        <v>0</v>
      </c>
      <c r="H15" s="23" t="n">
        <v>1</v>
      </c>
      <c r="I15" s="23" t="n">
        <v>0</v>
      </c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  <c r="AF15" s="23" t="n"/>
      <c r="AG15" s="23" t="n"/>
      <c r="AH15" s="23" t="n"/>
      <c r="AI15" s="23" t="n"/>
    </row>
    <row r="16">
      <c r="A16" s="18" t="inlineStr">
        <is>
          <t>Kulasekharam-1</t>
        </is>
      </c>
      <c r="B16" s="18" t="inlineStr">
        <is>
          <t>4.9★</t>
        </is>
      </c>
      <c r="C16" s="18" t="n">
        <v>457</v>
      </c>
      <c r="D16" s="18">
        <f>SUM(E16:AI16)</f>
        <v/>
      </c>
      <c r="E16" s="12" t="n">
        <v>0</v>
      </c>
      <c r="F16" s="23" t="n">
        <v>0</v>
      </c>
      <c r="G16" s="18" t="n">
        <v>0</v>
      </c>
      <c r="H16" s="23" t="n">
        <v>0</v>
      </c>
      <c r="I16" s="23" t="n">
        <v>0</v>
      </c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23" t="n"/>
      <c r="AC16" s="23" t="n"/>
      <c r="AD16" s="23" t="n"/>
      <c r="AE16" s="23" t="n"/>
      <c r="AF16" s="23" t="n"/>
      <c r="AG16" s="23" t="n"/>
      <c r="AH16" s="23" t="n"/>
      <c r="AI16" s="23" t="n"/>
    </row>
    <row r="17">
      <c r="A17" s="18" t="inlineStr">
        <is>
          <t>Monday Market</t>
        </is>
      </c>
      <c r="B17" s="18" t="inlineStr">
        <is>
          <t>4.9★</t>
        </is>
      </c>
      <c r="C17" s="18" t="n">
        <v>418</v>
      </c>
      <c r="D17" s="18">
        <f>SUM(E17:AI17)</f>
        <v/>
      </c>
      <c r="E17" s="12" t="n">
        <v>2</v>
      </c>
      <c r="F17" s="23" t="n">
        <v>1</v>
      </c>
      <c r="G17" s="18" t="n">
        <v>2</v>
      </c>
      <c r="H17" s="23" t="n">
        <v>0</v>
      </c>
      <c r="I17" s="23" t="n">
        <v>1</v>
      </c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23" t="n"/>
      <c r="AC17" s="23" t="n"/>
      <c r="AD17" s="23" t="n"/>
      <c r="AE17" s="23" t="n"/>
      <c r="AF17" s="23" t="n"/>
      <c r="AG17" s="23" t="n"/>
      <c r="AH17" s="23" t="n"/>
      <c r="AI17" s="23" t="n"/>
    </row>
    <row r="18">
      <c r="A18" s="18" t="inlineStr">
        <is>
          <t>Karungal-1</t>
        </is>
      </c>
      <c r="B18" s="18" t="inlineStr">
        <is>
          <t>4.9★</t>
        </is>
      </c>
      <c r="C18" s="18" t="n">
        <v>833</v>
      </c>
      <c r="D18" s="18">
        <f>SUM(E18:AI18)</f>
        <v/>
      </c>
      <c r="E18" s="12" t="n">
        <v>5</v>
      </c>
      <c r="F18" s="23" t="n">
        <v>5</v>
      </c>
      <c r="G18" s="18" t="n">
        <v>1</v>
      </c>
      <c r="H18" s="23" t="n">
        <v>0</v>
      </c>
      <c r="I18" s="23" t="n">
        <v>0</v>
      </c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23" t="n"/>
      <c r="AC18" s="23" t="n"/>
      <c r="AD18" s="23" t="n"/>
      <c r="AE18" s="23" t="n"/>
      <c r="AF18" s="23" t="n"/>
      <c r="AG18" s="23" t="n"/>
      <c r="AH18" s="23" t="n"/>
      <c r="AI18" s="23" t="n"/>
    </row>
    <row r="19">
      <c r="A19" s="18" t="inlineStr">
        <is>
          <t>Kovilpatti</t>
        </is>
      </c>
      <c r="B19" s="18" t="inlineStr">
        <is>
          <t>4.7★</t>
        </is>
      </c>
      <c r="C19" s="18" t="n">
        <v>2753</v>
      </c>
      <c r="D19" s="18">
        <f>SUM(E19:AI19)</f>
        <v/>
      </c>
      <c r="E19" s="12" t="n">
        <v>5</v>
      </c>
      <c r="F19" s="23" t="n">
        <v>19</v>
      </c>
      <c r="G19" s="18" t="n">
        <v>24</v>
      </c>
      <c r="H19" s="23" t="n">
        <v>4</v>
      </c>
      <c r="I19" s="23" t="n">
        <v>7</v>
      </c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23" t="n"/>
      <c r="AC19" s="23" t="n"/>
      <c r="AD19" s="23" t="n"/>
      <c r="AE19" s="23" t="n"/>
      <c r="AF19" s="23" t="n"/>
      <c r="AG19" s="23" t="n"/>
      <c r="AH19" s="23" t="n"/>
      <c r="AI19" s="23" t="n"/>
    </row>
    <row r="20">
      <c r="A20" s="18" t="inlineStr">
        <is>
          <t>Ramnad</t>
        </is>
      </c>
      <c r="B20" s="18" t="inlineStr">
        <is>
          <t>4.8★</t>
        </is>
      </c>
      <c r="C20" s="18" t="n">
        <v>2612</v>
      </c>
      <c r="D20" s="18">
        <f>SUM(E20:AI20)</f>
        <v/>
      </c>
      <c r="E20" s="12" t="n">
        <v>18</v>
      </c>
      <c r="F20" s="23" t="n">
        <v>10</v>
      </c>
      <c r="G20" s="18" t="n">
        <v>9</v>
      </c>
      <c r="H20" s="23" t="n">
        <v>9</v>
      </c>
      <c r="I20" s="23" t="n">
        <v>10</v>
      </c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23" t="n"/>
      <c r="AC20" s="23" t="n"/>
      <c r="AD20" s="23" t="n"/>
      <c r="AE20" s="23" t="n"/>
      <c r="AF20" s="23" t="n"/>
      <c r="AG20" s="23" t="n"/>
      <c r="AH20" s="23" t="n"/>
      <c r="AI20" s="23" t="n"/>
    </row>
    <row r="21">
      <c r="A21" s="18" t="inlineStr">
        <is>
          <t>Paramakudi</t>
        </is>
      </c>
      <c r="B21" s="18" t="inlineStr">
        <is>
          <t>4.9★</t>
        </is>
      </c>
      <c r="C21" s="18" t="n">
        <v>1237</v>
      </c>
      <c r="D21" s="18">
        <f>SUM(E21:AI21)</f>
        <v/>
      </c>
      <c r="E21" s="12" t="n">
        <v>3</v>
      </c>
      <c r="F21" s="23" t="n">
        <v>4</v>
      </c>
      <c r="G21" s="18" t="n">
        <v>6</v>
      </c>
      <c r="H21" s="23" t="n">
        <v>3</v>
      </c>
      <c r="I21" s="23" t="n">
        <v>3</v>
      </c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23" t="n"/>
      <c r="AC21" s="23" t="n"/>
      <c r="AD21" s="23" t="n"/>
      <c r="AE21" s="23" t="n"/>
      <c r="AF21" s="23" t="n"/>
      <c r="AG21" s="23" t="n"/>
      <c r="AH21" s="23" t="n"/>
      <c r="AI21" s="23" t="n"/>
    </row>
    <row r="22">
      <c r="A22" s="18" t="inlineStr">
        <is>
          <t>Sayalkudi-1</t>
        </is>
      </c>
      <c r="B22" s="18" t="inlineStr">
        <is>
          <t>4.9★</t>
        </is>
      </c>
      <c r="C22" s="18" t="n">
        <v>735</v>
      </c>
      <c r="D22" s="18">
        <f>SUM(E22:AI22)</f>
        <v/>
      </c>
      <c r="E22" s="12" t="n">
        <v>5</v>
      </c>
      <c r="F22" s="23" t="n">
        <v>5</v>
      </c>
      <c r="G22" s="18" t="n">
        <v>1</v>
      </c>
      <c r="H22" s="23" t="n">
        <v>1</v>
      </c>
      <c r="I22" s="23" t="n">
        <v>1</v>
      </c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23" t="n"/>
      <c r="AC22" s="23" t="n"/>
      <c r="AD22" s="23" t="n"/>
      <c r="AE22" s="23" t="n"/>
      <c r="AF22" s="23" t="n"/>
      <c r="AG22" s="23" t="n"/>
      <c r="AH22" s="23" t="n"/>
      <c r="AI22" s="23" t="n"/>
    </row>
    <row r="23">
      <c r="A23" s="18" t="inlineStr">
        <is>
          <t>Villathikullam</t>
        </is>
      </c>
      <c r="B23" s="18" t="inlineStr">
        <is>
          <t>4.8★</t>
        </is>
      </c>
      <c r="C23" s="18" t="n">
        <v>695</v>
      </c>
      <c r="D23" s="18">
        <f>SUM(E23:AI23)</f>
        <v/>
      </c>
      <c r="E23" s="12" t="n">
        <v>0</v>
      </c>
      <c r="F23" s="23" t="n">
        <v>5</v>
      </c>
      <c r="G23" s="18" t="n">
        <v>4</v>
      </c>
      <c r="H23" s="23" t="n">
        <v>0</v>
      </c>
      <c r="I23" s="23" t="n">
        <v>0</v>
      </c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23" t="n"/>
      <c r="AC23" s="23" t="n"/>
      <c r="AD23" s="23" t="n"/>
      <c r="AE23" s="23" t="n"/>
      <c r="AF23" s="23" t="n"/>
      <c r="AG23" s="23" t="n"/>
      <c r="AH23" s="23" t="n"/>
      <c r="AI23" s="23" t="n"/>
    </row>
    <row r="24">
      <c r="A24" s="18" t="inlineStr">
        <is>
          <t>Sattur-2</t>
        </is>
      </c>
      <c r="B24" s="18" t="inlineStr">
        <is>
          <t>4.8★</t>
        </is>
      </c>
      <c r="C24" s="18" t="n">
        <v>1020</v>
      </c>
      <c r="D24" s="18">
        <f>SUM(E24:AI24)</f>
        <v/>
      </c>
      <c r="E24" s="12" t="n">
        <v>0</v>
      </c>
      <c r="F24" s="23" t="n">
        <v>0</v>
      </c>
      <c r="G24" s="18" t="n">
        <v>2</v>
      </c>
      <c r="H24" s="23" t="n">
        <v>0</v>
      </c>
      <c r="I24" s="23" t="n">
        <v>2</v>
      </c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  <c r="AB24" s="23" t="n"/>
      <c r="AC24" s="23" t="n"/>
      <c r="AD24" s="23" t="n"/>
      <c r="AE24" s="23" t="n"/>
      <c r="AF24" s="23" t="n"/>
      <c r="AG24" s="23" t="n"/>
      <c r="AH24" s="23" t="n"/>
      <c r="AI24" s="23" t="n"/>
    </row>
    <row r="25">
      <c r="A25" s="18" t="inlineStr">
        <is>
          <t>Sankarankovil-1</t>
        </is>
      </c>
      <c r="B25" s="18" t="inlineStr">
        <is>
          <t>4.9★</t>
        </is>
      </c>
      <c r="C25" s="18" t="n">
        <v>1087</v>
      </c>
      <c r="D25" s="18">
        <f>SUM(E25:AI25)</f>
        <v/>
      </c>
      <c r="E25" s="12" t="n">
        <v>3</v>
      </c>
      <c r="F25" s="23" t="n">
        <v>7</v>
      </c>
      <c r="G25" s="18" t="n">
        <v>3</v>
      </c>
      <c r="H25" s="23" t="n">
        <v>2</v>
      </c>
      <c r="I25" s="23" t="n">
        <v>1</v>
      </c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  <c r="AF25" s="23" t="n"/>
      <c r="AG25" s="23" t="n"/>
      <c r="AH25" s="23" t="n"/>
      <c r="AI25" s="23" t="n"/>
    </row>
    <row r="26">
      <c r="A26" s="18" t="inlineStr">
        <is>
          <t>Kayathar-1</t>
        </is>
      </c>
      <c r="B26" s="18" t="inlineStr">
        <is>
          <t>5★</t>
        </is>
      </c>
      <c r="C26" s="18" t="n">
        <v>1069</v>
      </c>
      <c r="D26" s="18">
        <f>SUM(E26:AI26)</f>
        <v/>
      </c>
      <c r="E26" s="12" t="n">
        <v>3</v>
      </c>
      <c r="F26" s="23" t="n">
        <v>3</v>
      </c>
      <c r="G26" s="18" t="n">
        <v>8</v>
      </c>
      <c r="H26" s="23" t="n">
        <v>3</v>
      </c>
      <c r="I26" s="23" t="n">
        <v>2</v>
      </c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  <c r="AF26" s="23" t="n"/>
      <c r="AG26" s="23" t="n"/>
      <c r="AH26" s="23" t="n"/>
      <c r="AI26" s="23" t="n"/>
    </row>
    <row r="27">
      <c r="A27" s="18" t="inlineStr">
        <is>
          <t>Ramnad-2</t>
        </is>
      </c>
      <c r="B27" s="18" t="inlineStr">
        <is>
          <t>5★</t>
        </is>
      </c>
      <c r="C27" s="18" t="n">
        <v>36</v>
      </c>
      <c r="D27" s="18">
        <f>SUM(E27:AI27)</f>
        <v/>
      </c>
      <c r="E27" s="12" t="n">
        <v>3</v>
      </c>
      <c r="F27" s="23" t="n">
        <v>2</v>
      </c>
      <c r="G27" s="18" t="n">
        <v>0</v>
      </c>
      <c r="H27" s="23" t="n">
        <v>2</v>
      </c>
      <c r="I27" s="23" t="n">
        <v>1</v>
      </c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  <c r="AB27" s="23" t="n"/>
      <c r="AC27" s="23" t="n"/>
      <c r="AD27" s="23" t="n"/>
      <c r="AE27" s="23" t="n"/>
      <c r="AF27" s="23" t="n"/>
      <c r="AG27" s="23" t="n"/>
      <c r="AH27" s="23" t="n"/>
      <c r="AI27" s="23" t="n"/>
    </row>
    <row r="28">
      <c r="A28" s="18" t="inlineStr">
        <is>
          <t>Thenkasi</t>
        </is>
      </c>
      <c r="B28" s="18" t="inlineStr">
        <is>
          <t>4.9★</t>
        </is>
      </c>
      <c r="C28" s="18" t="n">
        <v>6231</v>
      </c>
      <c r="D28" s="18">
        <f>SUM(E28:AI28)</f>
        <v/>
      </c>
      <c r="E28" s="12" t="n">
        <v>1</v>
      </c>
      <c r="F28" s="23" t="n">
        <v>6</v>
      </c>
      <c r="G28" s="18" t="n">
        <v>2</v>
      </c>
      <c r="H28" s="23" t="n">
        <v>2</v>
      </c>
      <c r="I28" s="23" t="n">
        <v>0</v>
      </c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AE28" s="23" t="n"/>
      <c r="AF28" s="23" t="n"/>
      <c r="AG28" s="23" t="n"/>
      <c r="AH28" s="23" t="n"/>
      <c r="AI28" s="23" t="n"/>
    </row>
    <row r="29">
      <c r="A29" s="18" t="inlineStr">
        <is>
          <t>Thenkasi-2</t>
        </is>
      </c>
      <c r="B29" s="18" t="inlineStr">
        <is>
          <t>5★</t>
        </is>
      </c>
      <c r="C29" s="18" t="n">
        <v>4072</v>
      </c>
      <c r="D29" s="18">
        <f>SUM(E29:AI29)</f>
        <v/>
      </c>
      <c r="E29" s="12" t="n">
        <v>8</v>
      </c>
      <c r="F29" s="23" t="n">
        <v>2</v>
      </c>
      <c r="G29" s="18" t="n">
        <v>6</v>
      </c>
      <c r="H29" s="23" t="n">
        <v>3</v>
      </c>
      <c r="I29" s="23" t="n">
        <v>5</v>
      </c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AE29" s="23" t="n"/>
      <c r="AF29" s="23" t="n"/>
      <c r="AG29" s="23" t="n"/>
      <c r="AH29" s="23" t="n"/>
      <c r="AI29" s="23" t="n"/>
    </row>
    <row r="30">
      <c r="A30" s="18" t="inlineStr">
        <is>
          <t>Surandai-1</t>
        </is>
      </c>
      <c r="B30" s="18" t="inlineStr">
        <is>
          <t>4.9★</t>
        </is>
      </c>
      <c r="C30" s="18" t="n">
        <v>2360</v>
      </c>
      <c r="D30" s="18">
        <f>SUM(E30:AI30)</f>
        <v/>
      </c>
      <c r="E30" s="12" t="n">
        <v>2</v>
      </c>
      <c r="F30" s="23" t="n">
        <v>6</v>
      </c>
      <c r="G30" s="18" t="n">
        <v>4</v>
      </c>
      <c r="H30" s="23" t="n">
        <v>3</v>
      </c>
      <c r="I30" s="23" t="n">
        <v>0</v>
      </c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3" t="n"/>
      <c r="AG30" s="23" t="n"/>
      <c r="AH30" s="23" t="n"/>
      <c r="AI30" s="23" t="n"/>
    </row>
    <row r="31">
      <c r="A31" s="18" t="inlineStr">
        <is>
          <t>Puliyankudi-1</t>
        </is>
      </c>
      <c r="B31" s="18" t="inlineStr">
        <is>
          <t>4.9★</t>
        </is>
      </c>
      <c r="C31" s="18" t="n">
        <v>1042</v>
      </c>
      <c r="D31" s="18">
        <f>SUM(E31:AI31)</f>
        <v/>
      </c>
      <c r="E31" s="12" t="n">
        <v>1</v>
      </c>
      <c r="F31" s="23" t="n">
        <v>5</v>
      </c>
      <c r="G31" s="18" t="n">
        <v>1</v>
      </c>
      <c r="H31" s="23" t="n">
        <v>3</v>
      </c>
      <c r="I31" s="23" t="n">
        <v>3</v>
      </c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AE31" s="23" t="n"/>
      <c r="AF31" s="23" t="n"/>
      <c r="AG31" s="23" t="n"/>
      <c r="AH31" s="23" t="n"/>
      <c r="AI31" s="23" t="n"/>
    </row>
    <row r="32">
      <c r="A32" s="18" t="inlineStr">
        <is>
          <t>Sengottai-1</t>
        </is>
      </c>
      <c r="B32" s="18" t="inlineStr">
        <is>
          <t>5★</t>
        </is>
      </c>
      <c r="C32" s="18" t="n">
        <v>781</v>
      </c>
      <c r="D32" s="18">
        <f>SUM(E32:AI32)</f>
        <v/>
      </c>
      <c r="E32" s="12" t="n">
        <v>1</v>
      </c>
      <c r="F32" s="23" t="n">
        <v>2</v>
      </c>
      <c r="G32" s="18" t="n">
        <v>3</v>
      </c>
      <c r="H32" s="23" t="n">
        <v>1</v>
      </c>
      <c r="I32" s="23" t="n">
        <v>2</v>
      </c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>
      <c r="A33" s="18" t="inlineStr">
        <is>
          <t>Rajapalayam</t>
        </is>
      </c>
      <c r="B33" s="18" t="inlineStr">
        <is>
          <t>4.8★</t>
        </is>
      </c>
      <c r="C33" s="18" t="n">
        <v>2162</v>
      </c>
      <c r="D33" s="18">
        <f>SUM(E33:AI33)</f>
        <v/>
      </c>
      <c r="E33" s="12" t="n">
        <v>10</v>
      </c>
      <c r="F33" s="23" t="n">
        <v>11</v>
      </c>
      <c r="G33" s="18" t="n">
        <v>7</v>
      </c>
      <c r="H33" s="23" t="n">
        <v>2</v>
      </c>
      <c r="I33" s="23" t="n">
        <v>4</v>
      </c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>
      <c r="A34" s="18" t="inlineStr">
        <is>
          <t>Virudhunagar</t>
        </is>
      </c>
      <c r="B34" s="18" t="inlineStr">
        <is>
          <t>4.8★</t>
        </is>
      </c>
      <c r="C34" s="18" t="n">
        <v>2182</v>
      </c>
      <c r="D34" s="18">
        <f>SUM(E34:AI34)</f>
        <v/>
      </c>
      <c r="E34" s="12" t="n">
        <v>0</v>
      </c>
      <c r="F34" s="23" t="n">
        <v>1</v>
      </c>
      <c r="G34" s="18" t="n">
        <v>0</v>
      </c>
      <c r="H34" s="23" t="n">
        <v>2</v>
      </c>
      <c r="I34" s="23" t="n">
        <v>2</v>
      </c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>
      <c r="A35" s="18" t="inlineStr">
        <is>
          <t>Virudhunagar-2</t>
        </is>
      </c>
      <c r="B35" s="18" t="inlineStr">
        <is>
          <t>4.9★</t>
        </is>
      </c>
      <c r="C35" s="18" t="n">
        <v>1779</v>
      </c>
      <c r="D35" s="18">
        <f>SUM(E35:AI35)</f>
        <v/>
      </c>
      <c r="E35" s="12" t="n">
        <v>1</v>
      </c>
      <c r="F35" s="23" t="n">
        <v>3</v>
      </c>
      <c r="G35" s="18" t="n">
        <v>5</v>
      </c>
      <c r="H35" s="23" t="n">
        <v>2</v>
      </c>
      <c r="I35" s="23" t="n">
        <v>3</v>
      </c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>
      <c r="A36" s="18" t="inlineStr">
        <is>
          <t>Aruppukottai</t>
        </is>
      </c>
      <c r="B36" s="18" t="inlineStr">
        <is>
          <t>4.8★</t>
        </is>
      </c>
      <c r="C36" s="18" t="n">
        <v>2154</v>
      </c>
      <c r="D36" s="18">
        <f>SUM(E36:AI36)</f>
        <v/>
      </c>
      <c r="E36" s="12" t="n">
        <v>5</v>
      </c>
      <c r="F36" s="23" t="n">
        <v>10</v>
      </c>
      <c r="G36" s="18" t="n">
        <v>7</v>
      </c>
      <c r="H36" s="23" t="n">
        <v>9</v>
      </c>
      <c r="I36" s="23" t="n">
        <v>5</v>
      </c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>
      <c r="A37" s="18" t="inlineStr">
        <is>
          <t>Aruppukottai-2</t>
        </is>
      </c>
      <c r="B37" s="18" t="inlineStr">
        <is>
          <t>5★</t>
        </is>
      </c>
      <c r="C37" s="18" t="n">
        <v>1009</v>
      </c>
      <c r="D37" s="18">
        <f>SUM(E37:AI37)</f>
        <v/>
      </c>
      <c r="E37" s="12" t="n">
        <v>5</v>
      </c>
      <c r="F37" s="23" t="n">
        <v>7</v>
      </c>
      <c r="G37" s="18" t="n">
        <v>5</v>
      </c>
      <c r="H37" s="23" t="n">
        <v>7</v>
      </c>
      <c r="I37" s="23" t="n">
        <v>2</v>
      </c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>
      <c r="A38" s="18" t="inlineStr">
        <is>
          <t>Sivakasi</t>
        </is>
      </c>
      <c r="B38" s="18" t="inlineStr">
        <is>
          <t>4.8★</t>
        </is>
      </c>
      <c r="C38" s="18" t="n">
        <v>1272</v>
      </c>
      <c r="D38" s="18">
        <f>SUM(E38:AI38)</f>
        <v/>
      </c>
      <c r="E38" s="12" t="n">
        <v>3</v>
      </c>
      <c r="F38" s="23" t="n">
        <v>7</v>
      </c>
      <c r="G38" s="18" t="n">
        <v>2</v>
      </c>
      <c r="H38" s="23" t="n">
        <v>0</v>
      </c>
      <c r="I38" s="23" t="n">
        <v>1</v>
      </c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tabSelected="1" workbookViewId="0">
      <selection activeCell="D45" sqref="D45"/>
    </sheetView>
  </sheetViews>
  <sheetFormatPr baseColWidth="8" defaultColWidth="9" defaultRowHeight="15.75"/>
  <cols>
    <col width="17.25" customWidth="1" min="1" max="1"/>
    <col width="15.75" customWidth="1" min="2" max="2"/>
    <col width="15.25" customWidth="1" min="3" max="3"/>
    <col width="17.125" customWidth="1" min="4" max="4"/>
    <col width="9.5" customWidth="1" min="5" max="5"/>
    <col width="12.625" customWidth="1" min="7" max="7"/>
    <col width="16.25" customWidth="1" min="11" max="11"/>
    <col width="14.5" customWidth="1" min="12" max="12"/>
  </cols>
  <sheetData>
    <row r="1" ht="18" customHeight="1">
      <c r="K1" s="14" t="inlineStr">
        <is>
          <t>Google Reviews Daily Target</t>
        </is>
      </c>
    </row>
    <row r="2" ht="41" customHeight="1">
      <c r="A2" s="1" t="inlineStr">
        <is>
          <t>Branch</t>
        </is>
      </c>
      <c r="B2" s="1" t="inlineStr">
        <is>
          <t>Star Rating</t>
        </is>
      </c>
      <c r="C2" s="1" t="inlineStr">
        <is>
          <t>Overall Reviews</t>
        </is>
      </c>
      <c r="D2" s="1" t="inlineStr">
        <is>
          <t>Monthly Reviews</t>
        </is>
      </c>
      <c r="E2" s="25">
        <f>MIN(TODAY()-1,EOMONTH(TODAY(),0))</f>
        <v/>
      </c>
      <c r="G2" s="10" t="inlineStr">
        <is>
          <t>AGM</t>
        </is>
      </c>
      <c r="K2" s="15" t="inlineStr">
        <is>
          <t>BRANCH</t>
        </is>
      </c>
      <c r="L2" s="15" t="inlineStr">
        <is>
          <t>TARGET</t>
        </is>
      </c>
    </row>
    <row r="3" ht="18.75" customHeight="1">
      <c r="A3" s="18" t="inlineStr">
        <is>
          <t>Tuticorin-1</t>
        </is>
      </c>
      <c r="B3" s="18" t="inlineStr">
        <is>
          <t>4.9★</t>
        </is>
      </c>
      <c r="C3" s="18" t="n">
        <v>7555</v>
      </c>
      <c r="D3" s="18" t="n">
        <v>143</v>
      </c>
      <c r="E3" s="18" t="n">
        <v>27</v>
      </c>
      <c r="G3" s="11">
        <f>_xlfn.IFS(ISNUMBER(MATCH(A3,{"Tuticorin-1","Tuticorin-2","Thiruchendur-1","Thisayanvilai-1","Eral-2","Udankudi"},0)),"Siva",ISNUMBER(MATCH(A3,{"Tirunelveli-1","Valliyur-1","Ambasamudram-1","Anjugramam-1"},0)),"John",ISNUMBER(MATCH(A3,{"Thuckalay-1","Nagercoil","Marthandam","Kulasekharam-1","Monday Market","Karungal-1","Colachel-1"},0)),"Jeeva",ISNUMBER(MATCH(A3,{"Kovilpatti","Ramnad","Ramnad-2","Paramakudi","Sayalkudi-1","Villathikullam","Sattur-2","Sankarankovil-1","Kayathar-1"},0)),"Seenivasan",ISNUMBER(MATCH(A3,{"Thenkasi","Thenkasi-2","Surandai-1","Puliyankudi-1","Sengottai-1","Rajapalayam"},0)),"Muthuselvam",ISNUMBER(MATCH(A3,{"Virudhunagar","Virudhunagar-2","Aruppukottai -2","Aruppukottai","Sivakasi"},0)),"Venkatesh")</f>
        <v/>
      </c>
      <c r="K3" s="16" t="inlineStr">
        <is>
          <t>Tuticorin-1</t>
        </is>
      </c>
      <c r="L3" s="16" t="n">
        <v>25</v>
      </c>
    </row>
    <row r="4">
      <c r="A4" s="18" t="inlineStr">
        <is>
          <t>Tirunelveli-1</t>
        </is>
      </c>
      <c r="B4" s="18" t="inlineStr">
        <is>
          <t>4.8★</t>
        </is>
      </c>
      <c r="C4" s="18" t="n">
        <v>4575</v>
      </c>
      <c r="D4" s="18" t="n">
        <v>81</v>
      </c>
      <c r="E4" s="18" t="n">
        <v>12</v>
      </c>
      <c r="G4" s="11">
        <f>_xlfn.IFS(ISNUMBER(MATCH(A4,{"Tuticorin-1","Tuticorin-2","Thiruchendur-1","Thisayanvilai-1","Eral-2","Udankudi"},0)),"Siva",ISNUMBER(MATCH(A4,{"Tirunelveli-1","Valliyur-1","Ambasamudram-1","Anjugramam-1"},0)),"John",ISNUMBER(MATCH(A4,{"Thuckalay-1","Nagercoil","Marthandam","Kulasekharam-1","Monday Market","Karungal-1","Colachel-1"},0)),"Jeeva",ISNUMBER(MATCH(A4,{"Kovilpatti","Ramnad","Ramnad-2","Paramakudi","Sayalkudi-1","Villathikullam","Sattur-2","Sankarankovil-1","Kayathar-1"},0)),"Seenivasan",ISNUMBER(MATCH(A4,{"Thenkasi","Thenkasi-2","Surandai-1","Puliyankudi-1","Sengottai-1","Rajapalayam"},0)),"Muthuselvam",ISNUMBER(MATCH(A4,{"Virudhunagar","Virudhunagar-2","Aruppukottai -2","Aruppukottai","Sivakasi"},0)),"Venkatesh")</f>
        <v/>
      </c>
      <c r="K4" s="16" t="inlineStr">
        <is>
          <t>Tirunelveli-1</t>
        </is>
      </c>
      <c r="L4" s="16" t="n">
        <v>25</v>
      </c>
    </row>
    <row r="5">
      <c r="A5" s="18" t="inlineStr">
        <is>
          <t>Ramnad</t>
        </is>
      </c>
      <c r="B5" s="18" t="inlineStr">
        <is>
          <t>4.8★</t>
        </is>
      </c>
      <c r="C5" s="18" t="n">
        <v>2612</v>
      </c>
      <c r="D5" s="18" t="n">
        <v>56</v>
      </c>
      <c r="E5" s="18" t="n">
        <v>10</v>
      </c>
      <c r="G5" s="11">
        <f>_xlfn.IFS(ISNUMBER(MATCH(A5,{"Tuticorin-1","Tuticorin-2","Thiruchendur-1","Thisayanvilai-1","Eral-2","Udankudi"},0)),"Siva",ISNUMBER(MATCH(A5,{"Tirunelveli-1","Valliyur-1","Ambasamudram-1","Anjugramam-1"},0)),"John",ISNUMBER(MATCH(A5,{"Thuckalay-1","Nagercoil","Marthandam","Kulasekharam-1","Monday Market","Karungal-1","Colachel-1"},0)),"Jeeva",ISNUMBER(MATCH(A5,{"Kovilpatti","Ramnad","Ramnad-2","Paramakudi","Sayalkudi-1","Villathikullam","Sattur-2","Sankarankovil-1","Kayathar-1"},0)),"Seenivasan",ISNUMBER(MATCH(A5,{"Thenkasi","Thenkasi-2","Surandai-1","Puliyankudi-1","Sengottai-1","Rajapalayam"},0)),"Muthuselvam",ISNUMBER(MATCH(A5,{"Virudhunagar","Virudhunagar-2","Aruppukottai -2","Aruppukottai","Sivakasi"},0)),"Venkatesh")</f>
        <v/>
      </c>
      <c r="K5" s="16" t="inlineStr">
        <is>
          <t>Thenkasi</t>
        </is>
      </c>
      <c r="L5" s="16" t="n">
        <v>20</v>
      </c>
    </row>
    <row r="6">
      <c r="A6" s="18" t="inlineStr">
        <is>
          <t>Anjugramam-1</t>
        </is>
      </c>
      <c r="B6" s="18" t="inlineStr">
        <is>
          <t>4.9★</t>
        </is>
      </c>
      <c r="C6" s="18" t="n">
        <v>768</v>
      </c>
      <c r="D6" s="18" t="n">
        <v>15</v>
      </c>
      <c r="E6" s="18" t="n">
        <v>8</v>
      </c>
      <c r="G6" s="11">
        <f>_xlfn.IFS(ISNUMBER(MATCH(A6,{"Tuticorin-1","Tuticorin-2","Thiruchendur-1","Thisayanvilai-1","Eral-2","Udankudi"},0)),"Siva",ISNUMBER(MATCH(A6,{"Tirunelveli-1","Valliyur-1","Ambasamudram-1","Anjugramam-1"},0)),"John",ISNUMBER(MATCH(A6,{"Thuckalay-1","Nagercoil","Marthandam","Kulasekharam-1","Monday Market","Karungal-1","Colachel-1"},0)),"Jeeva",ISNUMBER(MATCH(A6,{"Kovilpatti","Ramnad","Ramnad-2","Paramakudi","Sayalkudi-1","Villathikullam","Sattur-2","Sankarankovil-1","Kayathar-1"},0)),"Seenivasan",ISNUMBER(MATCH(A6,{"Thenkasi","Thenkasi-2","Surandai-1","Puliyankudi-1","Sengottai-1","Rajapalayam"},0)),"Muthuselvam",ISNUMBER(MATCH(A6,{"Virudhunagar","Virudhunagar-2","Aruppukottai -2","Aruppukottai","Sivakasi"},0)),"Venkatesh")</f>
        <v/>
      </c>
      <c r="K6" s="16" t="inlineStr">
        <is>
          <t>Thenkasi-2</t>
        </is>
      </c>
      <c r="L6" s="16" t="n">
        <v>15</v>
      </c>
    </row>
    <row r="7">
      <c r="A7" s="18" t="inlineStr">
        <is>
          <t>Kovilpatti</t>
        </is>
      </c>
      <c r="B7" s="18" t="inlineStr">
        <is>
          <t>4.7★</t>
        </is>
      </c>
      <c r="C7" s="18" t="n">
        <v>2753</v>
      </c>
      <c r="D7" s="18" t="n">
        <v>59</v>
      </c>
      <c r="E7" s="18" t="n">
        <v>7</v>
      </c>
      <c r="G7" s="11">
        <f>_xlfn.IFS(ISNUMBER(MATCH(A7,{"Tuticorin-1","Tuticorin-2","Thiruchendur-1","Thisayanvilai-1","Eral-2","Udankudi"},0)),"Siva",ISNUMBER(MATCH(A7,{"Tirunelveli-1","Valliyur-1","Ambasamudram-1","Anjugramam-1"},0)),"John",ISNUMBER(MATCH(A7,{"Thuckalay-1","Nagercoil","Marthandam","Kulasekharam-1","Monday Market","Karungal-1","Colachel-1"},0)),"Jeeva",ISNUMBER(MATCH(A7,{"Kovilpatti","Ramnad","Ramnad-2","Paramakudi","Sayalkudi-1","Villathikullam","Sattur-2","Sankarankovil-1","Kayathar-1"},0)),"Seenivasan",ISNUMBER(MATCH(A7,{"Thenkasi","Thenkasi-2","Surandai-1","Puliyankudi-1","Sengottai-1","Rajapalayam"},0)),"Muthuselvam",ISNUMBER(MATCH(A7,{"Virudhunagar","Virudhunagar-2","Aruppukottai -2","Aruppukottai","Sivakasi"},0)),"Venkatesh")</f>
        <v/>
      </c>
      <c r="K7" s="16" t="inlineStr">
        <is>
          <t>Kovilpatti</t>
        </is>
      </c>
      <c r="L7" s="16" t="n">
        <v>15</v>
      </c>
    </row>
    <row r="8">
      <c r="A8" s="18" t="inlineStr">
        <is>
          <t>Thenkasi-2</t>
        </is>
      </c>
      <c r="B8" s="18" t="inlineStr">
        <is>
          <t>5.0★</t>
        </is>
      </c>
      <c r="C8" s="18" t="n">
        <v>4072</v>
      </c>
      <c r="D8" s="18" t="n">
        <v>24</v>
      </c>
      <c r="E8" s="18" t="n">
        <v>5</v>
      </c>
      <c r="G8" s="11">
        <f>_xlfn.IFS(ISNUMBER(MATCH(A8,{"Tuticorin-1","Tuticorin-2","Thiruchendur-1","Thisayanvilai-1","Eral-2","Udankudi"},0)),"Siva",ISNUMBER(MATCH(A8,{"Tirunelveli-1","Valliyur-1","Ambasamudram-1","Anjugramam-1"},0)),"John",ISNUMBER(MATCH(A8,{"Thuckalay-1","Nagercoil","Marthandam","Kulasekharam-1","Monday Market","Karungal-1","Colachel-1"},0)),"Jeeva",ISNUMBER(MATCH(A8,{"Kovilpatti","Ramnad","Ramnad-2","Paramakudi","Sayalkudi-1","Villathikullam","Sattur-2","Sankarankovil-1","Kayathar-1"},0)),"Seenivasan",ISNUMBER(MATCH(A8,{"Thenkasi","Thenkasi-2","Surandai-1","Puliyankudi-1","Sengottai-1","Rajapalayam"},0)),"Muthuselvam",ISNUMBER(MATCH(A8,{"Virudhunagar","Virudhunagar-2","Aruppukottai -2","Aruppukottai","Sivakasi"},0)),"Venkatesh")</f>
        <v/>
      </c>
      <c r="K8" s="16" t="inlineStr">
        <is>
          <t>Nagercoil</t>
        </is>
      </c>
      <c r="L8" s="16" t="n">
        <v>15</v>
      </c>
    </row>
    <row r="9">
      <c r="A9" s="18" t="inlineStr">
        <is>
          <t>Aruppukottai</t>
        </is>
      </c>
      <c r="B9" s="18" t="inlineStr">
        <is>
          <t>4.8★</t>
        </is>
      </c>
      <c r="C9" s="18" t="n">
        <v>2154</v>
      </c>
      <c r="D9" s="18" t="n">
        <v>36</v>
      </c>
      <c r="E9" s="18" t="n">
        <v>5</v>
      </c>
      <c r="G9" s="11">
        <f>_xlfn.IFS(ISNUMBER(MATCH(A9,{"Tuticorin-1","Tuticorin-2","Thiruchendur-1","Thisayanvilai-1","Eral-2","Udankudi"},0)),"Siva",ISNUMBER(MATCH(A9,{"Tirunelveli-1","Valliyur-1","Ambasamudram-1","Anjugramam-1"},0)),"John",ISNUMBER(MATCH(A9,{"Thuckalay-1","Nagercoil","Marthandam","Kulasekharam-1","Monday Market","Karungal-1","Colachel-1"},0)),"Jeeva",ISNUMBER(MATCH(A9,{"Kovilpatti","Ramnad","Ramnad-2","Paramakudi","Sayalkudi-1","Villathikullam","Sattur-2","Sankarankovil-1","Kayathar-1"},0)),"Seenivasan",ISNUMBER(MATCH(A9,{"Thenkasi","Thenkasi-2","Surandai-1","Puliyankudi-1","Sengottai-1","Rajapalayam"},0)),"Muthuselvam",ISNUMBER(MATCH(A9,{"Virudhunagar","Virudhunagar-2","Aruppukottai -2","Aruppukottai","Sivakasi"},0)),"Venkatesh")</f>
        <v/>
      </c>
      <c r="K9" s="16" t="inlineStr">
        <is>
          <t>Tuticorin-2</t>
        </is>
      </c>
      <c r="L9" s="16" t="n">
        <v>15</v>
      </c>
    </row>
    <row r="10">
      <c r="A10" s="18" t="inlineStr">
        <is>
          <t>Thisayanvilai-1</t>
        </is>
      </c>
      <c r="B10" s="18" t="inlineStr">
        <is>
          <t>4.9★</t>
        </is>
      </c>
      <c r="C10" s="18" t="n">
        <v>448</v>
      </c>
      <c r="D10" s="18" t="n">
        <v>15</v>
      </c>
      <c r="E10" s="18" t="n">
        <v>4</v>
      </c>
      <c r="G10" s="11">
        <f>_xlfn.IFS(ISNUMBER(MATCH(A10,{"Tuticorin-1","Tuticorin-2","Thiruchendur-1","Thisayanvilai-1","Eral-2","Udankudi"},0)),"Siva",ISNUMBER(MATCH(A10,{"Tirunelveli-1","Valliyur-1","Ambasamudram-1","Anjugramam-1"},0)),"John",ISNUMBER(MATCH(A10,{"Thuckalay-1","Nagercoil","Marthandam","Kulasekharam-1","Monday Market","Karungal-1","Colachel-1"},0)),"Jeeva",ISNUMBER(MATCH(A10,{"Kovilpatti","Ramnad","Ramnad-2","Paramakudi","Sayalkudi-1","Villathikullam","Sattur-2","Sankarankovil-1","Kayathar-1"},0)),"Seenivasan",ISNUMBER(MATCH(A10,{"Thenkasi","Thenkasi-2","Surandai-1","Puliyankudi-1","Sengottai-1","Rajapalayam"},0)),"Muthuselvam",ISNUMBER(MATCH(A10,{"Virudhunagar","Virudhunagar-2","Aruppukottai -2","Aruppukottai","Sivakasi"},0)),"Venkatesh")</f>
        <v/>
      </c>
      <c r="K10" s="16" t="inlineStr">
        <is>
          <t>Virudhunagar</t>
        </is>
      </c>
      <c r="L10" s="16" t="n">
        <v>15</v>
      </c>
    </row>
    <row r="11">
      <c r="A11" s="18" t="inlineStr">
        <is>
          <t>Thenkasi</t>
        </is>
      </c>
      <c r="B11" s="18" t="inlineStr">
        <is>
          <t>4.9★</t>
        </is>
      </c>
      <c r="C11" s="18" t="n">
        <v>6231</v>
      </c>
      <c r="D11" s="18" t="n">
        <v>11</v>
      </c>
      <c r="E11" s="18" t="n">
        <v>0</v>
      </c>
      <c r="G11" s="11">
        <f>_xlfn.IFS(ISNUMBER(MATCH(A11,{"Tuticorin-1","Tuticorin-2","Thiruchendur-1","Thisayanvilai-1","Eral-2","Udankudi"},0)),"Siva",ISNUMBER(MATCH(A11,{"Tirunelveli-1","Valliyur-1","Ambasamudram-1","Anjugramam-1"},0)),"John",ISNUMBER(MATCH(A11,{"Thuckalay-1","Nagercoil","Marthandam","Kulasekharam-1","Monday Market","Karungal-1","Colachel-1"},0)),"Jeeva",ISNUMBER(MATCH(A11,{"Kovilpatti","Ramnad","Ramnad-2","Paramakudi","Sayalkudi-1","Villathikullam","Sattur-2","Sankarankovil-1","Kayathar-1"},0)),"Seenivasan",ISNUMBER(MATCH(A11,{"Thenkasi","Thenkasi-2","Surandai-1","Puliyankudi-1","Sengottai-1","Rajapalayam"},0)),"Muthuselvam",ISNUMBER(MATCH(A11,{"Virudhunagar","Virudhunagar-2","Aruppukottai -2","Aruppukottai","Sivakasi"},0)),"Venkatesh")</f>
        <v/>
      </c>
      <c r="K11" s="16" t="inlineStr">
        <is>
          <t>Surandai-1</t>
        </is>
      </c>
      <c r="L11" s="16" t="n">
        <v>10</v>
      </c>
    </row>
    <row r="12">
      <c r="A12" s="18" t="inlineStr">
        <is>
          <t>Rajapalayam</t>
        </is>
      </c>
      <c r="B12" s="18" t="inlineStr">
        <is>
          <t>4.8★</t>
        </is>
      </c>
      <c r="C12" s="18" t="n">
        <v>2162</v>
      </c>
      <c r="D12" s="18" t="n">
        <v>34</v>
      </c>
      <c r="E12" s="18" t="n">
        <v>4</v>
      </c>
      <c r="G12" s="11">
        <f>_xlfn.IFS(ISNUMBER(MATCH(A12,{"Tuticorin-1","Tuticorin-2","Thiruchendur-1","Thisayanvilai-1","Eral-2","Udankudi"},0)),"Siva",ISNUMBER(MATCH(A12,{"Tirunelveli-1","Valliyur-1","Ambasamudram-1","Anjugramam-1"},0)),"John",ISNUMBER(MATCH(A12,{"Thuckalay-1","Nagercoil","Marthandam","Kulasekharam-1","Monday Market","Karungal-1","Colachel-1"},0)),"Jeeva",ISNUMBER(MATCH(A12,{"Kovilpatti","Ramnad","Ramnad-2","Paramakudi","Sayalkudi-1","Villathikullam","Sattur-2","Sankarankovil-1","Kayathar-1"},0)),"Seenivasan",ISNUMBER(MATCH(A12,{"Thenkasi","Thenkasi-2","Surandai-1","Puliyankudi-1","Sengottai-1","Rajapalayam"},0)),"Muthuselvam",ISNUMBER(MATCH(A12,{"Virudhunagar","Virudhunagar-2","Aruppukottai -2","Aruppukottai","Sivakasi"},0)),"Venkatesh")</f>
        <v/>
      </c>
      <c r="K12" s="16" t="inlineStr">
        <is>
          <t>Virudhunagar-2</t>
        </is>
      </c>
      <c r="L12" s="16" t="n">
        <v>10</v>
      </c>
    </row>
    <row r="13">
      <c r="A13" s="18" t="inlineStr">
        <is>
          <t>Thiruchendur-1</t>
        </is>
      </c>
      <c r="B13" s="18" t="inlineStr">
        <is>
          <t>4.9★</t>
        </is>
      </c>
      <c r="C13" s="18" t="n">
        <v>1350</v>
      </c>
      <c r="D13" s="18" t="n">
        <v>8</v>
      </c>
      <c r="E13" s="18" t="n">
        <v>3</v>
      </c>
      <c r="G13" s="11">
        <f>_xlfn.IFS(ISNUMBER(MATCH(A13,{"Tuticorin-1","Tuticorin-2","Thiruchendur-1","Thisayanvilai-1","Eral-2","Udankudi"},0)),"Siva",ISNUMBER(MATCH(A13,{"Tirunelveli-1","Valliyur-1","Ambasamudram-1","Anjugramam-1"},0)),"John",ISNUMBER(MATCH(A13,{"Thuckalay-1","Nagercoil","Marthandam","Kulasekharam-1","Monday Market","Karungal-1","Colachel-1"},0)),"Jeeva",ISNUMBER(MATCH(A13,{"Kovilpatti","Ramnad","Ramnad-2","Paramakudi","Sayalkudi-1","Villathikullam","Sattur-2","Sankarankovil-1","Kayathar-1"},0)),"Seenivasan",ISNUMBER(MATCH(A13,{"Thenkasi","Thenkasi-2","Surandai-1","Puliyankudi-1","Sengottai-1","Rajapalayam"},0)),"Muthuselvam",ISNUMBER(MATCH(A13,{"Virudhunagar","Virudhunagar-2","Aruppukottai -2","Aruppukottai","Sivakasi"},0)),"Venkatesh")</f>
        <v/>
      </c>
      <c r="K13" s="16" t="inlineStr">
        <is>
          <t>Rajapalayam</t>
        </is>
      </c>
      <c r="L13" s="16" t="n">
        <v>10</v>
      </c>
    </row>
    <row r="14">
      <c r="A14" s="18" t="inlineStr">
        <is>
          <t>Eral-2</t>
        </is>
      </c>
      <c r="B14" s="18" t="inlineStr">
        <is>
          <t>4.9★</t>
        </is>
      </c>
      <c r="C14" s="18" t="n">
        <v>1159</v>
      </c>
      <c r="D14" s="18" t="n">
        <v>9</v>
      </c>
      <c r="E14" s="18" t="n">
        <v>3</v>
      </c>
      <c r="G14" s="11">
        <f>_xlfn.IFS(ISNUMBER(MATCH(A14,{"Tuticorin-1","Tuticorin-2","Thiruchendur-1","Thisayanvilai-1","Eral-2","Udankudi"},0)),"Siva",ISNUMBER(MATCH(A14,{"Tirunelveli-1","Valliyur-1","Ambasamudram-1","Anjugramam-1"},0)),"John",ISNUMBER(MATCH(A14,{"Thuckalay-1","Nagercoil","Marthandam","Kulasekharam-1","Monday Market","Karungal-1","Colachel-1"},0)),"Jeeva",ISNUMBER(MATCH(A14,{"Kovilpatti","Ramnad","Ramnad-2","Paramakudi","Sayalkudi-1","Villathikullam","Sattur-2","Sankarankovil-1","Kayathar-1"},0)),"Seenivasan",ISNUMBER(MATCH(A14,{"Thenkasi","Thenkasi-2","Surandai-1","Puliyankudi-1","Sengottai-1","Rajapalayam"},0)),"Muthuselvam",ISNUMBER(MATCH(A14,{"Virudhunagar","Virudhunagar-2","Aruppukottai -2","Aruppukottai","Sivakasi"},0)),"Venkatesh")</f>
        <v/>
      </c>
      <c r="K14" s="16" t="inlineStr">
        <is>
          <t>Ambasamudram-1</t>
        </is>
      </c>
      <c r="L14" s="16" t="n">
        <v>10</v>
      </c>
    </row>
    <row r="15">
      <c r="A15" s="18" t="inlineStr">
        <is>
          <t>Paramakudi</t>
        </is>
      </c>
      <c r="B15" s="18" t="inlineStr">
        <is>
          <t>4.9★</t>
        </is>
      </c>
      <c r="C15" s="18" t="n">
        <v>1237</v>
      </c>
      <c r="D15" s="18" t="n">
        <v>19</v>
      </c>
      <c r="E15" s="18" t="n">
        <v>3</v>
      </c>
      <c r="G15" s="11">
        <f>_xlfn.IFS(ISNUMBER(MATCH(A15,{"Tuticorin-1","Tuticorin-2","Thiruchendur-1","Thisayanvilai-1","Eral-2","Udankudi"},0)),"Siva",ISNUMBER(MATCH(A15,{"Tirunelveli-1","Valliyur-1","Ambasamudram-1","Anjugramam-1"},0)),"John",ISNUMBER(MATCH(A15,{"Thuckalay-1","Nagercoil","Marthandam","Kulasekharam-1","Monday Market","Karungal-1","Colachel-1"},0)),"Jeeva",ISNUMBER(MATCH(A15,{"Kovilpatti","Ramnad","Ramnad-2","Paramakudi","Sayalkudi-1","Villathikullam","Sattur-2","Sankarankovil-1","Kayathar-1"},0)),"Seenivasan",ISNUMBER(MATCH(A15,{"Thenkasi","Thenkasi-2","Surandai-1","Puliyankudi-1","Sengottai-1","Rajapalayam"},0)),"Muthuselvam",ISNUMBER(MATCH(A15,{"Virudhunagar","Virudhunagar-2","Aruppukottai -2","Aruppukottai","Sivakasi"},0)),"Venkatesh")</f>
        <v/>
      </c>
      <c r="K15" s="16" t="inlineStr">
        <is>
          <t>Aruppukottai</t>
        </is>
      </c>
      <c r="L15" s="16" t="n">
        <v>10</v>
      </c>
    </row>
    <row r="16">
      <c r="A16" s="18" t="inlineStr">
        <is>
          <t>Puliyankudi-1</t>
        </is>
      </c>
      <c r="B16" s="18" t="inlineStr">
        <is>
          <t>4.9★</t>
        </is>
      </c>
      <c r="C16" s="18" t="n">
        <v>1042</v>
      </c>
      <c r="D16" s="18" t="n">
        <v>13</v>
      </c>
      <c r="E16" s="18" t="n">
        <v>3</v>
      </c>
      <c r="G16" s="11">
        <f>_xlfn.IFS(ISNUMBER(MATCH(A16,{"Tuticorin-1","Tuticorin-2","Thiruchendur-1","Thisayanvilai-1","Eral-2","Udankudi"},0)),"Siva",ISNUMBER(MATCH(A16,{"Tirunelveli-1","Valliyur-1","Ambasamudram-1","Anjugramam-1"},0)),"John",ISNUMBER(MATCH(A16,{"Thuckalay-1","Nagercoil","Marthandam","Kulasekharam-1","Monday Market","Karungal-1","Colachel-1"},0)),"Jeeva",ISNUMBER(MATCH(A16,{"Kovilpatti","Ramnad","Ramnad-2","Paramakudi","Sayalkudi-1","Villathikullam","Sattur-2","Sankarankovil-1","Kayathar-1"},0)),"Seenivasan",ISNUMBER(MATCH(A16,{"Thenkasi","Thenkasi-2","Surandai-1","Puliyankudi-1","Sengottai-1","Rajapalayam"},0)),"Muthuselvam",ISNUMBER(MATCH(A16,{"Virudhunagar","Virudhunagar-2","Aruppukottai -2","Aruppukottai","Sivakasi"},0)),"Venkatesh")</f>
        <v/>
      </c>
      <c r="K16" s="16" t="inlineStr">
        <is>
          <t>Sayalkudi-1</t>
        </is>
      </c>
      <c r="L16" s="16" t="n">
        <v>7</v>
      </c>
    </row>
    <row r="17">
      <c r="A17" s="18" t="inlineStr">
        <is>
          <t>Virudhunagar-2</t>
        </is>
      </c>
      <c r="B17" s="18" t="inlineStr">
        <is>
          <t>4.9★</t>
        </is>
      </c>
      <c r="C17" s="18" t="n">
        <v>1779</v>
      </c>
      <c r="D17" s="18" t="n">
        <v>14</v>
      </c>
      <c r="E17" s="18" t="n">
        <v>3</v>
      </c>
      <c r="G17" s="11">
        <f>_xlfn.IFS(ISNUMBER(MATCH(A17,{"Tuticorin-1","Tuticorin-2","Thiruchendur-1","Thisayanvilai-1","Eral-2","Udankudi"},0)),"Siva",ISNUMBER(MATCH(A17,{"Tirunelveli-1","Valliyur-1","Ambasamudram-1","Anjugramam-1"},0)),"John",ISNUMBER(MATCH(A17,{"Thuckalay-1","Nagercoil","Marthandam","Kulasekharam-1","Monday Market","Karungal-1","Colachel-1"},0)),"Jeeva",ISNUMBER(MATCH(A17,{"Kovilpatti","Ramnad","Ramnad-2","Paramakudi","Sayalkudi-1","Villathikullam","Sattur-2","Sankarankovil-1","Kayathar-1"},0)),"Seenivasan",ISNUMBER(MATCH(A17,{"Thenkasi","Thenkasi-2","Surandai-1","Puliyankudi-1","Sengottai-1","Rajapalayam"},0)),"Muthuselvam",ISNUMBER(MATCH(A17,{"Virudhunagar","Virudhunagar-2","Aruppukottai -2","Aruppukottai","Sivakasi"},0)),"Venkatesh")</f>
        <v/>
      </c>
      <c r="K17" s="16" t="inlineStr">
        <is>
          <t>Ramnad</t>
        </is>
      </c>
      <c r="L17" s="16" t="n">
        <v>7</v>
      </c>
    </row>
    <row r="18">
      <c r="A18" s="18" t="inlineStr">
        <is>
          <t>Tuticorin-2</t>
        </is>
      </c>
      <c r="B18" s="18" t="inlineStr">
        <is>
          <t>4.8★</t>
        </is>
      </c>
      <c r="C18" s="18" t="n">
        <v>6596</v>
      </c>
      <c r="D18" s="18" t="n">
        <v>24</v>
      </c>
      <c r="E18" s="18" t="n">
        <v>2</v>
      </c>
      <c r="G18" s="11">
        <f>_xlfn.IFS(ISNUMBER(MATCH(A18,{"Tuticorin-1","Tuticorin-2","Thiruchendur-1","Thisayanvilai-1","Eral-2","Udankudi"},0)),"Siva",ISNUMBER(MATCH(A18,{"Tirunelveli-1","Valliyur-1","Ambasamudram-1","Anjugramam-1"},0)),"John",ISNUMBER(MATCH(A18,{"Thuckalay-1","Nagercoil","Marthandam","Kulasekharam-1","Monday Market","Karungal-1","Colachel-1"},0)),"Jeeva",ISNUMBER(MATCH(A18,{"Kovilpatti","Ramnad","Ramnad-2","Paramakudi","Sayalkudi-1","Villathikullam","Sattur-2","Sankarankovil-1","Kayathar-1"},0)),"Seenivasan",ISNUMBER(MATCH(A18,{"Thenkasi","Thenkasi-2","Surandai-1","Puliyankudi-1","Sengottai-1","Rajapalayam"},0)),"Muthuselvam",ISNUMBER(MATCH(A18,{"Virudhunagar","Virudhunagar-2","Aruppukottai -2","Aruppukottai","Sivakasi"},0)),"Venkatesh")</f>
        <v/>
      </c>
      <c r="K18" s="16" t="inlineStr">
        <is>
          <t>Sivakasi</t>
        </is>
      </c>
      <c r="L18" s="16" t="n">
        <v>5</v>
      </c>
    </row>
    <row r="19">
      <c r="A19" s="18" t="inlineStr">
        <is>
          <t>Ambasamudram-1</t>
        </is>
      </c>
      <c r="B19" s="18" t="inlineStr">
        <is>
          <t>4.9★</t>
        </is>
      </c>
      <c r="C19" s="18" t="n">
        <v>1020</v>
      </c>
      <c r="D19" s="18" t="n">
        <v>24</v>
      </c>
      <c r="E19" s="18" t="n">
        <v>2</v>
      </c>
      <c r="G19" s="11">
        <f>_xlfn.IFS(ISNUMBER(MATCH(A19,{"Tuticorin-1","Tuticorin-2","Thiruchendur-1","Thisayanvilai-1","Eral-2","Udankudi"},0)),"Siva",ISNUMBER(MATCH(A19,{"Tirunelveli-1","Valliyur-1","Ambasamudram-1","Anjugramam-1"},0)),"John",ISNUMBER(MATCH(A19,{"Thuckalay-1","Nagercoil","Marthandam","Kulasekharam-1","Monday Market","Karungal-1","Colachel-1"},0)),"Jeeva",ISNUMBER(MATCH(A19,{"Kovilpatti","Ramnad","Ramnad-2","Paramakudi","Sayalkudi-1","Villathikullam","Sattur-2","Sankarankovil-1","Kayathar-1"},0)),"Seenivasan",ISNUMBER(MATCH(A19,{"Thenkasi","Thenkasi-2","Surandai-1","Puliyankudi-1","Sengottai-1","Rajapalayam"},0)),"Muthuselvam",ISNUMBER(MATCH(A19,{"Virudhunagar","Virudhunagar-2","Aruppukottai -2","Aruppukottai","Sivakasi"},0)),"Venkatesh")</f>
        <v/>
      </c>
      <c r="K19" s="16" t="inlineStr">
        <is>
          <t>Marthandam</t>
        </is>
      </c>
      <c r="L19" s="16" t="n">
        <v>5</v>
      </c>
    </row>
    <row r="20">
      <c r="A20" s="18" t="inlineStr">
        <is>
          <t>Sattur-2</t>
        </is>
      </c>
      <c r="B20" s="18" t="inlineStr">
        <is>
          <t>4.8★</t>
        </is>
      </c>
      <c r="C20" s="18" t="n">
        <v>1020</v>
      </c>
      <c r="D20" s="18" t="n">
        <v>4</v>
      </c>
      <c r="E20" s="18" t="n">
        <v>2</v>
      </c>
      <c r="G20" s="11">
        <f>_xlfn.IFS(ISNUMBER(MATCH(A20,{"Tuticorin-1","Tuticorin-2","Thiruchendur-1","Thisayanvilai-1","Eral-2","Udankudi"},0)),"Siva",ISNUMBER(MATCH(A20,{"Tirunelveli-1","Valliyur-1","Ambasamudram-1","Anjugramam-1"},0)),"John",ISNUMBER(MATCH(A20,{"Thuckalay-1","Nagercoil","Marthandam","Kulasekharam-1","Monday Market","Karungal-1","Colachel-1"},0)),"Jeeva",ISNUMBER(MATCH(A20,{"Kovilpatti","Ramnad","Ramnad-2","Paramakudi","Sayalkudi-1","Villathikullam","Sattur-2","Sankarankovil-1","Kayathar-1"},0)),"Seenivasan",ISNUMBER(MATCH(A20,{"Thenkasi","Thenkasi-2","Surandai-1","Puliyankudi-1","Sengottai-1","Rajapalayam"},0)),"Muthuselvam",ISNUMBER(MATCH(A20,{"Virudhunagar","Virudhunagar-2","Aruppukottai -2","Aruppukottai","Sivakasi"},0)),"Venkatesh")</f>
        <v/>
      </c>
      <c r="K20" s="16" t="inlineStr">
        <is>
          <t>Thiruchendur-1</t>
        </is>
      </c>
      <c r="L20" s="16" t="n">
        <v>5</v>
      </c>
    </row>
    <row r="21">
      <c r="A21" s="18" t="inlineStr">
        <is>
          <t>Kayathar-1</t>
        </is>
      </c>
      <c r="B21" s="18" t="inlineStr">
        <is>
          <t>5.0★</t>
        </is>
      </c>
      <c r="C21" s="18" t="n">
        <v>1069</v>
      </c>
      <c r="D21" s="18" t="n">
        <v>19</v>
      </c>
      <c r="E21" s="18" t="n">
        <v>2</v>
      </c>
      <c r="G21" s="11">
        <f>_xlfn.IFS(ISNUMBER(MATCH(A21,{"Tuticorin-1","Tuticorin-2","Thiruchendur-1","Thisayanvilai-1","Eral-2","Udankudi"},0)),"Siva",ISNUMBER(MATCH(A21,{"Tirunelveli-1","Valliyur-1","Ambasamudram-1","Anjugramam-1"},0)),"John",ISNUMBER(MATCH(A21,{"Thuckalay-1","Nagercoil","Marthandam","Kulasekharam-1","Monday Market","Karungal-1","Colachel-1"},0)),"Jeeva",ISNUMBER(MATCH(A21,{"Kovilpatti","Ramnad","Ramnad-2","Paramakudi","Sayalkudi-1","Villathikullam","Sattur-2","Sankarankovil-1","Kayathar-1"},0)),"Seenivasan",ISNUMBER(MATCH(A21,{"Thenkasi","Thenkasi-2","Surandai-1","Puliyankudi-1","Sengottai-1","Rajapalayam"},0)),"Muthuselvam",ISNUMBER(MATCH(A21,{"Virudhunagar","Virudhunagar-2","Aruppukottai -2","Aruppukottai","Sivakasi"},0)),"Venkatesh")</f>
        <v/>
      </c>
      <c r="K21" s="16" t="inlineStr">
        <is>
          <t>Sankarankovil-1</t>
        </is>
      </c>
      <c r="L21" s="16" t="n">
        <v>5</v>
      </c>
    </row>
    <row r="22">
      <c r="A22" s="18" t="inlineStr">
        <is>
          <t>Surandai-1</t>
        </is>
      </c>
      <c r="B22" s="18" t="inlineStr">
        <is>
          <t>4.9★</t>
        </is>
      </c>
      <c r="C22" s="18" t="n">
        <v>2360</v>
      </c>
      <c r="D22" s="18" t="n">
        <v>15</v>
      </c>
      <c r="E22" s="18" t="n">
        <v>0</v>
      </c>
      <c r="G22" s="11">
        <f>_xlfn.IFS(ISNUMBER(MATCH(A22,{"Tuticorin-1","Tuticorin-2","Thiruchendur-1","Thisayanvilai-1","Eral-2","Udankudi"},0)),"Siva",ISNUMBER(MATCH(A22,{"Tirunelveli-1","Valliyur-1","Ambasamudram-1","Anjugramam-1"},0)),"John",ISNUMBER(MATCH(A22,{"Thuckalay-1","Nagercoil","Marthandam","Kulasekharam-1","Monday Market","Karungal-1","Colachel-1"},0)),"Jeeva",ISNUMBER(MATCH(A22,{"Kovilpatti","Ramnad","Ramnad-2","Paramakudi","Sayalkudi-1","Villathikullam","Sattur-2","Sankarankovil-1","Kayathar-1"},0)),"Seenivasan",ISNUMBER(MATCH(A22,{"Thenkasi","Thenkasi-2","Surandai-1","Puliyankudi-1","Sengottai-1","Rajapalayam"},0)),"Muthuselvam",ISNUMBER(MATCH(A22,{"Virudhunagar","Virudhunagar-2","Aruppukottai -2","Aruppukottai","Sivakasi"},0)),"Venkatesh")</f>
        <v/>
      </c>
      <c r="K22" s="16" t="inlineStr">
        <is>
          <t>Aruppukottai -2</t>
        </is>
      </c>
      <c r="L22" s="16" t="n">
        <v>5</v>
      </c>
    </row>
    <row r="23">
      <c r="A23" s="18" t="inlineStr">
        <is>
          <t>Sengottai-1</t>
        </is>
      </c>
      <c r="B23" s="18" t="inlineStr">
        <is>
          <t>5.0★</t>
        </is>
      </c>
      <c r="C23" s="18" t="n">
        <v>781</v>
      </c>
      <c r="D23" s="18" t="n">
        <v>9</v>
      </c>
      <c r="E23" s="18" t="n">
        <v>2</v>
      </c>
      <c r="G23" s="11">
        <f>_xlfn.IFS(ISNUMBER(MATCH(A23,{"Tuticorin-1","Tuticorin-2","Thiruchendur-1","Thisayanvilai-1","Eral-2","Udankudi"},0)),"Siva",ISNUMBER(MATCH(A23,{"Tirunelveli-1","Valliyur-1","Ambasamudram-1","Anjugramam-1"},0)),"John",ISNUMBER(MATCH(A23,{"Thuckalay-1","Nagercoil","Marthandam","Kulasekharam-1","Monday Market","Karungal-1","Colachel-1"},0)),"Jeeva",ISNUMBER(MATCH(A23,{"Kovilpatti","Ramnad","Ramnad-2","Paramakudi","Sayalkudi-1","Villathikullam","Sattur-2","Sankarankovil-1","Kayathar-1"},0)),"Seenivasan",ISNUMBER(MATCH(A23,{"Thenkasi","Thenkasi-2","Surandai-1","Puliyankudi-1","Sengottai-1","Rajapalayam"},0)),"Muthuselvam",ISNUMBER(MATCH(A23,{"Virudhunagar","Virudhunagar-2","Aruppukottai -2","Aruppukottai","Sivakasi"},0)),"Venkatesh")</f>
        <v/>
      </c>
      <c r="K23" s="16" t="inlineStr">
        <is>
          <t>Monday Market</t>
        </is>
      </c>
      <c r="L23" s="16" t="n">
        <v>5</v>
      </c>
    </row>
    <row r="24">
      <c r="A24" s="18" t="inlineStr">
        <is>
          <t>Virudhunagar</t>
        </is>
      </c>
      <c r="B24" s="18" t="inlineStr">
        <is>
          <t>4.8★</t>
        </is>
      </c>
      <c r="C24" s="18" t="n">
        <v>2182</v>
      </c>
      <c r="D24" s="18" t="n">
        <v>5</v>
      </c>
      <c r="E24" s="18" t="n">
        <v>2</v>
      </c>
      <c r="G24" s="11">
        <f>_xlfn.IFS(ISNUMBER(MATCH(A24,{"Tuticorin-1","Tuticorin-2","Thiruchendur-1","Thisayanvilai-1","Eral-2","Udankudi"},0)),"Siva",ISNUMBER(MATCH(A24,{"Tirunelveli-1","Valliyur-1","Ambasamudram-1","Anjugramam-1"},0)),"John",ISNUMBER(MATCH(A24,{"Thuckalay-1","Nagercoil","Marthandam","Kulasekharam-1","Monday Market","Karungal-1","Colachel-1"},0)),"Jeeva",ISNUMBER(MATCH(A24,{"Kovilpatti","Ramnad","Ramnad-2","Paramakudi","Sayalkudi-1","Villathikullam","Sattur-2","Sankarankovil-1","Kayathar-1"},0)),"Seenivasan",ISNUMBER(MATCH(A24,{"Thenkasi","Thenkasi-2","Surandai-1","Puliyankudi-1","Sengottai-1","Rajapalayam"},0)),"Muthuselvam",ISNUMBER(MATCH(A24,{"Virudhunagar","Virudhunagar-2","Aruppukottai -2","Aruppukottai","Sivakasi"},0)),"Venkatesh")</f>
        <v/>
      </c>
      <c r="K24" s="16" t="inlineStr">
        <is>
          <t>Puliyankudi-1</t>
        </is>
      </c>
      <c r="L24" s="16" t="n">
        <v>5</v>
      </c>
    </row>
    <row r="25">
      <c r="A25" s="18" t="inlineStr">
        <is>
          <t>Aruppukottai -2</t>
        </is>
      </c>
      <c r="B25" s="18" t="inlineStr">
        <is>
          <t>5★</t>
        </is>
      </c>
      <c r="C25" s="18" t="n">
        <v>1009</v>
      </c>
      <c r="D25" s="18" t="n">
        <v>26</v>
      </c>
      <c r="E25" s="18" t="n">
        <v>2</v>
      </c>
      <c r="G25" s="11">
        <f>_xlfn.IFS(ISNUMBER(MATCH(A25,{"Tuticorin-1","Tuticorin-2","Thiruchendur-1","Thisayanvilai-1","Eral-2","Udankudi"},0)),"Siva",ISNUMBER(MATCH(A25,{"Tirunelveli-1","Valliyur-1","Ambasamudram-1","Anjugramam-1"},0)),"John",ISNUMBER(MATCH(A25,{"Thuckalay-1","Nagercoil","Marthandam","Kulasekharam-1","Monday Market","Karungal-1","Colachel-1"},0)),"Jeeva",ISNUMBER(MATCH(A25,{"Kovilpatti","Ramnad","Ramnad-2","Paramakudi","Sayalkudi-1","Villathikullam","Sattur-2","Sankarankovil-1","Kayathar-1"},0)),"Seenivasan",ISNUMBER(MATCH(A25,{"Thenkasi","Thenkasi-2","Surandai-1","Puliyankudi-1","Sengottai-1","Rajapalayam"},0)),"Muthuselvam",ISNUMBER(MATCH(A25,{"Virudhunagar","Virudhunagar-2","Aruppukottai -2","Aruppukottai","Sivakasi"},0)),"Venkatesh")</f>
        <v/>
      </c>
      <c r="K25" s="16" t="inlineStr">
        <is>
          <t>Valliyur-1</t>
        </is>
      </c>
      <c r="L25" s="16" t="n">
        <v>5</v>
      </c>
    </row>
    <row r="26">
      <c r="A26" s="18" t="inlineStr">
        <is>
          <t>Udankudi</t>
        </is>
      </c>
      <c r="B26" s="18" t="inlineStr">
        <is>
          <t>4.9★</t>
        </is>
      </c>
      <c r="C26" s="18" t="n">
        <v>2086</v>
      </c>
      <c r="D26" s="18" t="n">
        <v>10</v>
      </c>
      <c r="E26" s="18" t="n">
        <v>1</v>
      </c>
      <c r="G26" s="11">
        <f>_xlfn.IFS(ISNUMBER(MATCH(A26,{"Tuticorin-1","Tuticorin-2","Thiruchendur-1","Thisayanvilai-1","Eral-2","Udankudi"},0)),"Siva",ISNUMBER(MATCH(A26,{"Tirunelveli-1","Valliyur-1","Ambasamudram-1","Anjugramam-1"},0)),"John",ISNUMBER(MATCH(A26,{"Thuckalay-1","Nagercoil","Marthandam","Kulasekharam-1","Monday Market","Karungal-1","Colachel-1"},0)),"Jeeva",ISNUMBER(MATCH(A26,{"Kovilpatti","Ramnad","Ramnad-2","Paramakudi","Sayalkudi-1","Villathikullam","Sattur-2","Sankarankovil-1","Kayathar-1"},0)),"Seenivasan",ISNUMBER(MATCH(A26,{"Thenkasi","Thenkasi-2","Surandai-1","Puliyankudi-1","Sengottai-1","Rajapalayam"},0)),"Muthuselvam",ISNUMBER(MATCH(A26,{"Virudhunagar","Virudhunagar-2","Aruppukottai -2","Aruppukottai","Sivakasi"},0)),"Venkatesh")</f>
        <v/>
      </c>
      <c r="K26" s="16" t="inlineStr">
        <is>
          <t>Thuckalay-1</t>
        </is>
      </c>
      <c r="L26" s="16" t="n">
        <v>5</v>
      </c>
    </row>
    <row r="27">
      <c r="A27" s="18" t="inlineStr">
        <is>
          <t>Valliyur-1</t>
        </is>
      </c>
      <c r="B27" s="18" t="inlineStr">
        <is>
          <t>4.8★</t>
        </is>
      </c>
      <c r="C27" s="18" t="n">
        <v>1242</v>
      </c>
      <c r="D27" s="18" t="n">
        <v>17</v>
      </c>
      <c r="E27" s="18" t="n">
        <v>1</v>
      </c>
      <c r="G27" s="11">
        <f>_xlfn.IFS(ISNUMBER(MATCH(A27,{"Tuticorin-1","Tuticorin-2","Thiruchendur-1","Thisayanvilai-1","Eral-2","Udankudi"},0)),"Siva",ISNUMBER(MATCH(A27,{"Tirunelveli-1","Valliyur-1","Ambasamudram-1","Anjugramam-1"},0)),"John",ISNUMBER(MATCH(A27,{"Thuckalay-1","Nagercoil","Marthandam","Kulasekharam-1","Monday Market","Karungal-1","Colachel-1"},0)),"Jeeva",ISNUMBER(MATCH(A27,{"Kovilpatti","Ramnad","Ramnad-2","Paramakudi","Sayalkudi-1","Villathikullam","Sattur-2","Sankarankovil-1","Kayathar-1"},0)),"Seenivasan",ISNUMBER(MATCH(A27,{"Thenkasi","Thenkasi-2","Surandai-1","Puliyankudi-1","Sengottai-1","Rajapalayam"},0)),"Muthuselvam",ISNUMBER(MATCH(A27,{"Virudhunagar","Virudhunagar-2","Aruppukottai -2","Aruppukottai","Sivakasi"},0)),"Venkatesh")</f>
        <v/>
      </c>
      <c r="K27" s="16" t="inlineStr">
        <is>
          <t>Paramakudi</t>
        </is>
      </c>
      <c r="L27" s="16" t="n">
        <v>5</v>
      </c>
    </row>
    <row r="28">
      <c r="A28" s="18" t="inlineStr">
        <is>
          <t>Nagercoil</t>
        </is>
      </c>
      <c r="B28" s="18" t="inlineStr">
        <is>
          <t>4.8★</t>
        </is>
      </c>
      <c r="C28" s="18" t="n">
        <v>3271</v>
      </c>
      <c r="D28" s="18" t="n">
        <v>37</v>
      </c>
      <c r="E28" s="18" t="n">
        <v>1</v>
      </c>
      <c r="G28" s="11">
        <f>_xlfn.IFS(ISNUMBER(MATCH(A28,{"Tuticorin-1","Tuticorin-2","Thiruchendur-1","Thisayanvilai-1","Eral-2","Udankudi"},0)),"Siva",ISNUMBER(MATCH(A28,{"Tirunelveli-1","Valliyur-1","Ambasamudram-1","Anjugramam-1"},0)),"John",ISNUMBER(MATCH(A28,{"Thuckalay-1","Nagercoil","Marthandam","Kulasekharam-1","Monday Market","Karungal-1","Colachel-1"},0)),"Jeeva",ISNUMBER(MATCH(A28,{"Kovilpatti","Ramnad","Ramnad-2","Paramakudi","Sayalkudi-1","Villathikullam","Sattur-2","Sankarankovil-1","Kayathar-1"},0)),"Seenivasan",ISNUMBER(MATCH(A28,{"Thenkasi","Thenkasi-2","Surandai-1","Puliyankudi-1","Sengottai-1","Rajapalayam"},0)),"Muthuselvam",ISNUMBER(MATCH(A28,{"Virudhunagar","Virudhunagar-2","Aruppukottai -2","Aruppukottai","Sivakasi"},0)),"Venkatesh")</f>
        <v/>
      </c>
      <c r="K28" s="16" t="inlineStr">
        <is>
          <t>Udankudi</t>
        </is>
      </c>
      <c r="L28" s="16" t="n">
        <v>5</v>
      </c>
    </row>
    <row r="29">
      <c r="A29" s="18" t="inlineStr">
        <is>
          <t>Thuckalay-1</t>
        </is>
      </c>
      <c r="B29" s="18" t="inlineStr">
        <is>
          <t>4.7★</t>
        </is>
      </c>
      <c r="C29" s="18" t="n">
        <v>1142</v>
      </c>
      <c r="D29" s="18" t="n">
        <v>9</v>
      </c>
      <c r="E29" s="18" t="n">
        <v>1</v>
      </c>
      <c r="G29" s="11">
        <f>_xlfn.IFS(ISNUMBER(MATCH(A29,{"Tuticorin-1","Tuticorin-2","Thiruchendur-1","Thisayanvilai-1","Eral-2","Udankudi"},0)),"Siva",ISNUMBER(MATCH(A29,{"Tirunelveli-1","Valliyur-1","Ambasamudram-1","Anjugramam-1"},0)),"John",ISNUMBER(MATCH(A29,{"Thuckalay-1","Nagercoil","Marthandam","Kulasekharam-1","Monday Market","Karungal-1","Colachel-1"},0)),"Jeeva",ISNUMBER(MATCH(A29,{"Kovilpatti","Ramnad","Ramnad-2","Paramakudi","Sayalkudi-1","Villathikullam","Sattur-2","Sankarankovil-1","Kayathar-1"},0)),"Seenivasan",ISNUMBER(MATCH(A29,{"Thenkasi","Thenkasi-2","Surandai-1","Puliyankudi-1","Sengottai-1","Rajapalayam"},0)),"Muthuselvam",ISNUMBER(MATCH(A29,{"Virudhunagar","Virudhunagar-2","Aruppukottai -2","Aruppukottai","Sivakasi"},0)),"Venkatesh")</f>
        <v/>
      </c>
      <c r="K29" s="16" t="inlineStr">
        <is>
          <t>Eral-2</t>
        </is>
      </c>
      <c r="L29" s="16" t="n">
        <v>5</v>
      </c>
    </row>
    <row r="30">
      <c r="A30" s="18" t="inlineStr">
        <is>
          <t>Monday Market</t>
        </is>
      </c>
      <c r="B30" s="18" t="inlineStr">
        <is>
          <t>4.9★</t>
        </is>
      </c>
      <c r="C30" s="18" t="n">
        <v>418</v>
      </c>
      <c r="D30" s="18" t="n">
        <v>6</v>
      </c>
      <c r="E30" s="18" t="n">
        <v>1</v>
      </c>
      <c r="G30" s="11">
        <f>_xlfn.IFS(ISNUMBER(MATCH(A30,{"Tuticorin-1","Tuticorin-2","Thiruchendur-1","Thisayanvilai-1","Eral-2","Udankudi"},0)),"Siva",ISNUMBER(MATCH(A30,{"Tirunelveli-1","Valliyur-1","Ambasamudram-1","Anjugramam-1"},0)),"John",ISNUMBER(MATCH(A30,{"Thuckalay-1","Nagercoil","Marthandam","Kulasekharam-1","Monday Market","Karungal-1","Colachel-1"},0)),"Jeeva",ISNUMBER(MATCH(A30,{"Kovilpatti","Ramnad","Ramnad-2","Paramakudi","Sayalkudi-1","Villathikullam","Sattur-2","Sankarankovil-1","Kayathar-1"},0)),"Seenivasan",ISNUMBER(MATCH(A30,{"Thenkasi","Thenkasi-2","Surandai-1","Puliyankudi-1","Sengottai-1","Rajapalayam"},0)),"Muthuselvam",ISNUMBER(MATCH(A30,{"Virudhunagar","Virudhunagar-2","Aruppukottai -2","Aruppukottai","Sivakasi"},0)),"Venkatesh")</f>
        <v/>
      </c>
      <c r="K30" s="16" t="inlineStr">
        <is>
          <t>Colachel-1</t>
        </is>
      </c>
      <c r="L30" s="16" t="n">
        <v>5</v>
      </c>
    </row>
    <row r="31">
      <c r="A31" s="18" t="inlineStr">
        <is>
          <t>Karungal-1</t>
        </is>
      </c>
      <c r="B31" s="18" t="inlineStr">
        <is>
          <t>4.9★</t>
        </is>
      </c>
      <c r="C31" s="18" t="n">
        <v>833</v>
      </c>
      <c r="D31" s="18" t="n">
        <v>11</v>
      </c>
      <c r="E31" s="18" t="n">
        <v>0</v>
      </c>
      <c r="G31" s="11">
        <f>_xlfn.IFS(ISNUMBER(MATCH(A31,{"Tuticorin-1","Tuticorin-2","Thiruchendur-1","Thisayanvilai-1","Eral-2","Udankudi"},0)),"Siva",ISNUMBER(MATCH(A31,{"Tirunelveli-1","Valliyur-1","Ambasamudram-1","Anjugramam-1"},0)),"John",ISNUMBER(MATCH(A31,{"Thuckalay-1","Nagercoil","Marthandam","Kulasekharam-1","Monday Market","Karungal-1","Colachel-1"},0)),"Jeeva",ISNUMBER(MATCH(A31,{"Kovilpatti","Ramnad","Ramnad-2","Paramakudi","Sayalkudi-1","Villathikullam","Sattur-2","Sankarankovil-1","Kayathar-1"},0)),"Seenivasan",ISNUMBER(MATCH(A31,{"Thenkasi","Thenkasi-2","Surandai-1","Puliyankudi-1","Sengottai-1","Rajapalayam"},0)),"Muthuselvam",ISNUMBER(MATCH(A31,{"Virudhunagar","Virudhunagar-2","Aruppukottai -2","Aruppukottai","Sivakasi"},0)),"Venkatesh")</f>
        <v/>
      </c>
      <c r="K31" s="16" t="inlineStr">
        <is>
          <t>Thisayanvilai-1</t>
        </is>
      </c>
      <c r="L31" s="16" t="n">
        <v>5</v>
      </c>
    </row>
    <row r="32">
      <c r="A32" s="18" t="inlineStr">
        <is>
          <t>Sayalkudi-1</t>
        </is>
      </c>
      <c r="B32" s="18" t="inlineStr">
        <is>
          <t>4.9★</t>
        </is>
      </c>
      <c r="C32" s="18" t="n">
        <v>735</v>
      </c>
      <c r="D32" s="18" t="n">
        <v>13</v>
      </c>
      <c r="E32" s="18" t="n">
        <v>1</v>
      </c>
      <c r="G32" s="11">
        <f>_xlfn.IFS(ISNUMBER(MATCH(A32,{"Tuticorin-1","Tuticorin-2","Thiruchendur-1","Thisayanvilai-1","Eral-2","Udankudi"},0)),"Siva",ISNUMBER(MATCH(A32,{"Tirunelveli-1","Valliyur-1","Ambasamudram-1","Anjugramam-1"},0)),"John",ISNUMBER(MATCH(A32,{"Thuckalay-1","Nagercoil","Marthandam","Kulasekharam-1","Monday Market","Karungal-1","Colachel-1"},0)),"Jeeva",ISNUMBER(MATCH(A32,{"Kovilpatti","Ramnad","Ramnad-2","Paramakudi","Sayalkudi-1","Villathikullam","Sattur-2","Sankarankovil-1","Kayathar-1"},0)),"Seenivasan",ISNUMBER(MATCH(A32,{"Thenkasi","Thenkasi-2","Surandai-1","Puliyankudi-1","Sengottai-1","Rajapalayam"},0)),"Muthuselvam",ISNUMBER(MATCH(A32,{"Virudhunagar","Virudhunagar-2","Aruppukottai -2","Aruppukottai","Sivakasi"},0)),"Venkatesh")</f>
        <v/>
      </c>
      <c r="K32" s="16" t="inlineStr">
        <is>
          <t>Kulasekharam-1</t>
        </is>
      </c>
      <c r="L32" s="16" t="n">
        <v>5</v>
      </c>
    </row>
    <row r="33">
      <c r="A33" s="18" t="inlineStr">
        <is>
          <t>Sankarankovil-1</t>
        </is>
      </c>
      <c r="B33" s="18" t="inlineStr">
        <is>
          <t>4.9★</t>
        </is>
      </c>
      <c r="C33" s="18" t="n">
        <v>1087</v>
      </c>
      <c r="D33" s="18" t="n">
        <v>16</v>
      </c>
      <c r="E33" s="18" t="n">
        <v>1</v>
      </c>
      <c r="G33" s="11">
        <f>_xlfn.IFS(ISNUMBER(MATCH(A33,{"Tuticorin-1","Tuticorin-2","Thiruchendur-1","Thisayanvilai-1","Eral-2","Udankudi"},0)),"Siva",ISNUMBER(MATCH(A33,{"Tirunelveli-1","Valliyur-1","Ambasamudram-1","Anjugramam-1"},0)),"John",ISNUMBER(MATCH(A33,{"Thuckalay-1","Nagercoil","Marthandam","Kulasekharam-1","Monday Market","Karungal-1","Colachel-1"},0)),"Jeeva",ISNUMBER(MATCH(A33,{"Kovilpatti","Ramnad","Ramnad-2","Paramakudi","Sayalkudi-1","Villathikullam","Sattur-2","Sankarankovil-1","Kayathar-1"},0)),"Seenivasan",ISNUMBER(MATCH(A33,{"Thenkasi","Thenkasi-2","Surandai-1","Puliyankudi-1","Sengottai-1","Rajapalayam"},0)),"Muthuselvam",ISNUMBER(MATCH(A33,{"Virudhunagar","Virudhunagar-2","Aruppukottai -2","Aruppukottai","Sivakasi"},0)),"Venkatesh")</f>
        <v/>
      </c>
      <c r="K33" s="16" t="inlineStr">
        <is>
          <t>Villathikullam</t>
        </is>
      </c>
      <c r="L33" s="16" t="n">
        <v>5</v>
      </c>
    </row>
    <row r="34">
      <c r="A34" s="18" t="inlineStr">
        <is>
          <t>Ramnad-2</t>
        </is>
      </c>
      <c r="B34" s="18" t="inlineStr">
        <is>
          <t>5.0★</t>
        </is>
      </c>
      <c r="C34" s="18" t="n">
        <v>36</v>
      </c>
      <c r="D34" s="18" t="n">
        <v>8</v>
      </c>
      <c r="E34" s="18" t="n">
        <v>1</v>
      </c>
      <c r="G34" s="11">
        <f>_xlfn.IFS(ISNUMBER(MATCH(A34,{"Tuticorin-1","Tuticorin-2","Thiruchendur-1","Thisayanvilai-1","Eral-2","Udankudi"},0)),"Siva",ISNUMBER(MATCH(A34,{"Tirunelveli-1","Valliyur-1","Ambasamudram-1","Anjugramam-1"},0)),"John",ISNUMBER(MATCH(A34,{"Thuckalay-1","Nagercoil","Marthandam","Kulasekharam-1","Monday Market","Karungal-1","Colachel-1"},0)),"Jeeva",ISNUMBER(MATCH(A34,{"Kovilpatti","Ramnad","Ramnad-2","Paramakudi","Sayalkudi-1","Villathikullam","Sattur-2","Sankarankovil-1","Kayathar-1"},0)),"Seenivasan",ISNUMBER(MATCH(A34,{"Thenkasi","Thenkasi-2","Surandai-1","Puliyankudi-1","Sengottai-1","Rajapalayam"},0)),"Muthuselvam",ISNUMBER(MATCH(A34,{"Virudhunagar","Virudhunagar-2","Aruppukottai -2","Aruppukottai","Sivakasi"},0)),"Venkatesh")</f>
        <v/>
      </c>
      <c r="K34" s="16" t="inlineStr">
        <is>
          <t>Kayathar-1</t>
        </is>
      </c>
      <c r="L34" s="16" t="n">
        <v>5</v>
      </c>
    </row>
    <row r="35">
      <c r="A35" s="18" t="inlineStr">
        <is>
          <t>Sivakasi</t>
        </is>
      </c>
      <c r="B35" s="18" t="inlineStr">
        <is>
          <t>4.8★</t>
        </is>
      </c>
      <c r="C35" s="18" t="n">
        <v>1272</v>
      </c>
      <c r="D35" s="18" t="n">
        <v>13</v>
      </c>
      <c r="E35" s="18" t="n">
        <v>1</v>
      </c>
      <c r="G35" s="11">
        <f>_xlfn.IFS(ISNUMBER(MATCH(A35,{"Tuticorin-1","Tuticorin-2","Thiruchendur-1","Thisayanvilai-1","Eral-2","Udankudi"},0)),"Siva",ISNUMBER(MATCH(A35,{"Tirunelveli-1","Valliyur-1","Ambasamudram-1","Anjugramam-1"},0)),"John",ISNUMBER(MATCH(A35,{"Thuckalay-1","Nagercoil","Marthandam","Kulasekharam-1","Monday Market","Karungal-1","Colachel-1"},0)),"Jeeva",ISNUMBER(MATCH(A35,{"Kovilpatti","Ramnad","Ramnad-2","Paramakudi","Sayalkudi-1","Villathikullam","Sattur-2","Sankarankovil-1","Kayathar-1"},0)),"Seenivasan",ISNUMBER(MATCH(A35,{"Thenkasi","Thenkasi-2","Surandai-1","Puliyankudi-1","Sengottai-1","Rajapalayam"},0)),"Muthuselvam",ISNUMBER(MATCH(A35,{"Virudhunagar","Virudhunagar-2","Aruppukottai -2","Aruppukottai","Sivakasi"},0)),"Venkatesh")</f>
        <v/>
      </c>
      <c r="K35" s="16" t="inlineStr">
        <is>
          <t>Anjugramam-1</t>
        </is>
      </c>
      <c r="L35" s="16" t="n">
        <v>5</v>
      </c>
    </row>
    <row r="36">
      <c r="A36" s="18" t="inlineStr">
        <is>
          <t>Marthandam</t>
        </is>
      </c>
      <c r="B36" s="18" t="inlineStr">
        <is>
          <t>4.7★</t>
        </is>
      </c>
      <c r="C36" s="18" t="n">
        <v>1170</v>
      </c>
      <c r="D36" s="18" t="n">
        <v>10</v>
      </c>
      <c r="E36" s="12" t="n">
        <v>0</v>
      </c>
      <c r="G36" s="11">
        <f>_xlfn.IFS(ISNUMBER(MATCH(A36,{"Tuticorin-1","Tuticorin-2","Thiruchendur-1","Thisayanvilai-1","Eral-2","Udankudi"},0)),"Siva",ISNUMBER(MATCH(A36,{"Tirunelveli-1","Valliyur-1","Ambasamudram-1","Anjugramam-1"},0)),"John",ISNUMBER(MATCH(A36,{"Thuckalay-1","Nagercoil","Marthandam","Kulasekharam-1","Monday Market","Karungal-1","Colachel-1"},0)),"Jeeva",ISNUMBER(MATCH(A36,{"Kovilpatti","Ramnad","Ramnad-2","Paramakudi","Sayalkudi-1","Villathikullam","Sattur-2","Sankarankovil-1","Kayathar-1"},0)),"Seenivasan",ISNUMBER(MATCH(A36,{"Thenkasi","Thenkasi-2","Surandai-1","Puliyankudi-1","Sengottai-1","Rajapalayam"},0)),"Muthuselvam",ISNUMBER(MATCH(A36,{"Virudhunagar","Virudhunagar-2","Aruppukottai -2","Aruppukottai","Sivakasi"},0)),"Venkatesh")</f>
        <v/>
      </c>
      <c r="K36" s="16" t="inlineStr">
        <is>
          <t>Sattur-2</t>
        </is>
      </c>
      <c r="L36" s="16" t="n">
        <v>5</v>
      </c>
    </row>
    <row r="37" ht="15" customHeight="1">
      <c r="A37" s="18" t="inlineStr">
        <is>
          <t>Colachel-1</t>
        </is>
      </c>
      <c r="B37" s="18" t="inlineStr">
        <is>
          <t>4.9★</t>
        </is>
      </c>
      <c r="C37" s="18" t="n">
        <v>314</v>
      </c>
      <c r="D37" s="18" t="n">
        <v>1</v>
      </c>
      <c r="E37" s="18" t="n">
        <v>0</v>
      </c>
      <c r="G37" s="11">
        <f>_xlfn.IFS(ISNUMBER(MATCH(A37,{"Tuticorin-1","Tuticorin-2","Thiruchendur-1","Thisayanvilai-1","Eral-2","Udankudi"},0)),"Siva",ISNUMBER(MATCH(A37,{"Tirunelveli-1","Valliyur-1","Ambasamudram-1","Anjugramam-1"},0)),"John",ISNUMBER(MATCH(A37,{"Thuckalay-1","Nagercoil","Marthandam","Kulasekharam-1","Monday Market","Karungal-1","Colachel-1"},0)),"Jeeva",ISNUMBER(MATCH(A37,{"Kovilpatti","Ramnad","Ramnad-2","Paramakudi","Sayalkudi-1","Villathikullam","Sattur-2","Sankarankovil-1","Kayathar-1"},0)),"Seenivasan",ISNUMBER(MATCH(A37,{"Thenkasi","Thenkasi-2","Surandai-1","Puliyankudi-1","Sengottai-1","Rajapalayam"},0)),"Muthuselvam",ISNUMBER(MATCH(A37,{"Virudhunagar","Virudhunagar-2","Aruppukottai -2","Aruppukottai","Sivakasi"},0)),"Venkatesh")</f>
        <v/>
      </c>
      <c r="K37" s="16" t="inlineStr">
        <is>
          <t>Sengottai-1</t>
        </is>
      </c>
      <c r="L37" s="16" t="n">
        <v>5</v>
      </c>
    </row>
    <row r="38" ht="15" customHeight="1">
      <c r="A38" s="18" t="inlineStr">
        <is>
          <t>Kulasekharam-1</t>
        </is>
      </c>
      <c r="B38" s="18" t="inlineStr">
        <is>
          <t>4.9★</t>
        </is>
      </c>
      <c r="C38" s="18" t="n">
        <v>457</v>
      </c>
      <c r="D38" s="18" t="n">
        <v>0</v>
      </c>
      <c r="E38" s="18" t="n">
        <v>0</v>
      </c>
      <c r="G38" s="11">
        <f>_xlfn.IFS(ISNUMBER(MATCH(A38,{"Tuticorin-1","Tuticorin-2","Thiruchendur-1","Thisayanvilai-1","Eral-2","Udankudi"},0)),"Siva",ISNUMBER(MATCH(A38,{"Tirunelveli-1","Valliyur-1","Ambasamudram-1","Anjugramam-1"},0)),"John",ISNUMBER(MATCH(A38,{"Thuckalay-1","Nagercoil","Marthandam","Kulasekharam-1","Monday Market","Karungal-1","Colachel-1"},0)),"Jeeva",ISNUMBER(MATCH(A38,{"Kovilpatti","Ramnad","Ramnad-2","Paramakudi","Sayalkudi-1","Villathikullam","Sattur-2","Sankarankovil-1","Kayathar-1"},0)),"Seenivasan",ISNUMBER(MATCH(A38,{"Thenkasi","Thenkasi-2","Surandai-1","Puliyankudi-1","Sengottai-1","Rajapalayam"},0)),"Muthuselvam",ISNUMBER(MATCH(A38,{"Virudhunagar","Virudhunagar-2","Aruppukottai -2","Aruppukottai","Sivakasi"},0)),"Venkatesh")</f>
        <v/>
      </c>
      <c r="K38" s="16" t="inlineStr">
        <is>
          <t>Karungal-1</t>
        </is>
      </c>
      <c r="L38" s="16" t="n">
        <v>5</v>
      </c>
    </row>
    <row r="39" ht="17" customHeight="1">
      <c r="A39" s="18" t="inlineStr">
        <is>
          <t>Villathikullam</t>
        </is>
      </c>
      <c r="B39" s="18" t="inlineStr">
        <is>
          <t>4.8★</t>
        </is>
      </c>
      <c r="C39" s="18" t="n">
        <v>695</v>
      </c>
      <c r="D39" s="18" t="n">
        <v>9</v>
      </c>
      <c r="E39" s="18" t="n">
        <v>0</v>
      </c>
      <c r="G39" s="11">
        <f>_xlfn.IFS(ISNUMBER(MATCH(A39,{"Tuticorin-1","Tuticorin-2","Thiruchendur-1","Thisayanvilai-1","Eral-2","Udankudi"},0)),"Siva",ISNUMBER(MATCH(A39,{"Tirunelveli-1","Valliyur-1","Ambasamudram-1","Anjugramam-1"},0)),"John",ISNUMBER(MATCH(A39,{"Thuckalay-1","Nagercoil","Marthandam","Kulasekharam-1","Monday Market","Karungal-1","Colachel-1"},0)),"Jeeva",ISNUMBER(MATCH(A39,{"Kovilpatti","Ramnad","Ramnad-2","Paramakudi","Sayalkudi-1","Villathikullam","Sattur-2","Sankarankovil-1","Kayathar-1"},0)),"Seenivasan",ISNUMBER(MATCH(A39,{"Thenkasi","Thenkasi-2","Surandai-1","Puliyankudi-1","Sengottai-1","Rajapalayam"},0)),"Muthuselvam",ISNUMBER(MATCH(A39,{"Virudhunagar","Virudhunagar-2","Aruppukottai -2","Aruppukottai","Sivakasi"},0)),"Venkatesh")</f>
        <v/>
      </c>
      <c r="K39" s="17" t="n"/>
      <c r="L39" s="17" t="n"/>
    </row>
    <row r="40" hidden="1" ht="18.75" customHeight="1">
      <c r="A40" s="18" t="n"/>
      <c r="B40" s="18" t="n"/>
      <c r="C40" s="4" t="n"/>
      <c r="D40" s="4" t="n"/>
      <c r="E40" s="13" t="n"/>
      <c r="K40" s="15" t="n"/>
      <c r="L40" s="15" t="n"/>
    </row>
    <row r="41" ht="18.75" customHeight="1">
      <c r="A41" s="18" t="inlineStr">
        <is>
          <t>Total</t>
        </is>
      </c>
      <c r="B41" s="18">
        <f>VALUE(SUBSTITUTE(B3,"★",""))</f>
        <v/>
      </c>
      <c r="C41" s="4">
        <f>SUM(C3:C39)</f>
        <v/>
      </c>
      <c r="D41" s="4">
        <f>SUM(D3:D39)</f>
        <v/>
      </c>
      <c r="E41" s="13">
        <f>SUM(E3:E39)</f>
        <v/>
      </c>
      <c r="K41" s="15" t="inlineStr">
        <is>
          <t>Total</t>
        </is>
      </c>
      <c r="L41" s="15">
        <f>SUM(L3:L38)</f>
        <v/>
      </c>
    </row>
    <row r="42" ht="27" customHeight="1">
      <c r="A42" s="5" t="inlineStr">
        <is>
          <t>Region</t>
        </is>
      </c>
      <c r="B42" s="6" t="inlineStr">
        <is>
          <t>Monthly Total</t>
        </is>
      </c>
      <c r="C42" s="6" t="inlineStr">
        <is>
          <t>Daily</t>
        </is>
      </c>
    </row>
    <row r="43" ht="17.25" customHeight="1">
      <c r="A43" s="7" t="inlineStr">
        <is>
          <t>TKS1</t>
        </is>
      </c>
      <c r="B43" s="7">
        <f>SUM(SUMIF(A3:A39,{"Thenkasi","Thenkasi-2","Surandai-1","Puliyankudi-1","Rajapalayam","Sengottai-1"},D3:D39))</f>
        <v/>
      </c>
      <c r="C43" s="7">
        <f>SUM(SUMIF(A3:A39,{"Thenkasi","Thenkasi-2","Surandai-1","Puliyankudi-1","Rajapalayam","Sengottai-1"},E3:E39))</f>
        <v/>
      </c>
    </row>
    <row r="44" ht="17.25" customHeight="1">
      <c r="A44" s="7" t="inlineStr">
        <is>
          <t>Tuticorin</t>
        </is>
      </c>
      <c r="B44" s="7">
        <f>SUM(SUMIF(A3:A39,{"Tuticorin-1","Tuticorin-2","Thiruchendur-1","Thisayanvilai-1","Eral-2","Udankudi"},D3:D39))</f>
        <v/>
      </c>
      <c r="C44" s="7">
        <f>SUM(SUMIF(A3:A39,{"Tuticorin-1","Tuticorin-2","Thiruchendur-1","Thisayanvilai-1","Eral-2","Udankudi"},E3:E39))</f>
        <v/>
      </c>
    </row>
    <row r="45" ht="17.25" customHeight="1">
      <c r="A45" s="7" t="inlineStr">
        <is>
          <t>Tirunelveli</t>
        </is>
      </c>
      <c r="B45" s="7">
        <f>SUM(SUMIF(A3:A39,{"Tirunelveli-1","Valliyur-1","Ambasamudram-1","Anjugramam-1"},D3:D39))</f>
        <v/>
      </c>
      <c r="C45" s="7">
        <f>SUM(SUMIF(A3:A39,{"Tirunelveli-1","Valliyur-1","Ambasamudram-1","Anjugramam-1"},E3:E39))</f>
        <v/>
      </c>
    </row>
    <row r="46" ht="17.25" customHeight="1">
      <c r="A46" s="7" t="inlineStr">
        <is>
          <t>VNR1</t>
        </is>
      </c>
      <c r="B46" s="7">
        <f>SUM(SUMIF(A3:A39,{"Virudhunagar","Virudhunagar-2","Aruppukottai","Aruppukottai -2","Sivakasi"},D3:D39))</f>
        <v/>
      </c>
      <c r="C46" s="7">
        <f>SUM(SUMIF(A3:A39,{"Virudhunagar","Virudhunagar-2","Aruppukottai","Aruppukottai -2","Sivakasi"},E3:E39))</f>
        <v/>
      </c>
    </row>
    <row r="47" ht="17.25" customHeight="1">
      <c r="A47" s="7" t="inlineStr">
        <is>
          <t>NGR1</t>
        </is>
      </c>
      <c r="B47" s="7">
        <f>SUM(SUMIF(A3:A39,{"Nagercoil","Marthandam","Thuckalay-1","Colachel-1","Kulasekharam-1","Monday Market","Karungal-1"},D3:D39))</f>
        <v/>
      </c>
      <c r="C47" s="7">
        <f>SUM(SUMIF(A3:A39,{"Nagercoil","Marthandam","Thuckalay-1","Colachel-1","Kulasekharam-1","Monday Market","Karungal-1"},E3:E39))</f>
        <v/>
      </c>
    </row>
    <row r="48" ht="15" customHeight="1">
      <c r="A48" s="7" t="inlineStr">
        <is>
          <t>KVT1</t>
        </is>
      </c>
      <c r="B48" s="7">
        <f>SUM(SUMIF(A3:A39,{"Kovilpatti","Ramnad","Ramnad-2","Paramakudi","Sayalkudi-1","Villathikullam","Sattur-2","Sankarankovil-1","Kayathar-1"},D3:D39))</f>
        <v/>
      </c>
      <c r="C48" s="7">
        <f>SUM(SUMIF(A3:A39,{"Kovilpatti","Ramnad","Ramnad-2","Paramakudi","Sayalkudi-1","Villathikullam","Sattur-2","Sankarankovil-1","Kayathar-1"},E3:E39))</f>
        <v/>
      </c>
    </row>
    <row r="49" hidden="1" ht="3" customHeight="1">
      <c r="A49" s="7" t="n"/>
      <c r="B49" s="26" t="n"/>
      <c r="C49" s="7" t="n"/>
    </row>
    <row r="50" ht="17.25" customHeight="1">
      <c r="A50" s="7" t="inlineStr">
        <is>
          <t>Total</t>
        </is>
      </c>
      <c r="B50" s="7">
        <f>SUM(B43:B48)</f>
        <v/>
      </c>
      <c r="C50" s="7">
        <f>SUM(C43:C48)</f>
        <v/>
      </c>
    </row>
    <row r="51" ht="16.5" customHeight="1"/>
  </sheetData>
  <mergeCells count="1">
    <mergeCell ref="K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2026-07-02T07:06:00Z</dcterms:created>
  <dcterms:modified xmlns:dcterms="http://purl.org/dc/terms/" xmlns:xsi="http://www.w3.org/2001/XMLSchema-instance" xsi:type="dcterms:W3CDTF">2026-08-06T06:14:23Z</dcterms:modified>
  <cp:lastModifiedBy>rocklin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/>
  </property>
  <property name="KSOProductBuildVer" fmtid="{D5CDD505-2E9C-101B-9397-08002B2CF9AE}" pid="3">
    <vt:lpwstr xmlns:vt="http://schemas.openxmlformats.org/officeDocument/2006/docPropsVTypes">1033-11.1.0.11723</vt:lpwstr>
  </property>
  <property name="CalculationRule" fmtid="{D5CDD505-2E9C-101B-9397-08002B2CF9AE}" pid="4">
    <vt:i4 xmlns:vt="http://schemas.openxmlformats.org/officeDocument/2006/docPropsVTypes">0</vt:i4>
  </property>
</Properties>
</file>